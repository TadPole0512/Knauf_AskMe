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work\KNAUF\40.Right\A.Zone\2025\"/>
    </mc:Choice>
  </mc:AlternateContent>
  <xr:revisionPtr revIDLastSave="0" documentId="13_ncr:1_{5D1D6309-5687-4DFB-A596-F7CA1C440C13}" xr6:coauthVersionLast="47" xr6:coauthVersionMax="47" xr10:uidLastSave="{00000000-0000-0000-0000-000000000000}"/>
  <bookViews>
    <workbookView xWindow="-28920" yWindow="-120" windowWidth="29040" windowHeight="16440" activeTab="1" xr2:uid="{9EE83604-3DC4-4A80-A842-2D9B6F4C4A6D}"/>
  </bookViews>
  <sheets>
    <sheet name="2025-01-32" sheetId="18" r:id="rId1"/>
    <sheet name="목차" sheetId="44" r:id="rId2"/>
    <sheet name="2024-11-22 (3)" sheetId="55" r:id="rId3"/>
    <sheet name="콤보박스" sheetId="3" r:id="rId4"/>
    <sheet name="SheetName" sheetId="42" r:id="rId5"/>
    <sheet name="2025-01-32 (3)" sheetId="54" r:id="rId6"/>
    <sheet name="2025-01-32 (2)" sheetId="52" r:id="rId7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55" l="1"/>
  <c r="C13" i="54"/>
  <c r="B2" i="42" a="1"/>
  <c r="B8" i="42" a="1"/>
  <c r="B9" i="42" a="1"/>
  <c r="B6" i="42" a="1"/>
  <c r="B3" i="42" a="1"/>
  <c r="B10" i="42" a="1"/>
  <c r="B4" i="42" a="1"/>
  <c r="B5" i="42" a="1"/>
  <c r="B7" i="42" a="1"/>
  <c r="B11" i="42" a="1"/>
  <c r="E9" i="44" a="1"/>
  <c r="B11" i="42" l="1"/>
  <c r="B7" i="42"/>
  <c r="B5" i="42"/>
  <c r="B4" i="42"/>
  <c r="B10" i="42"/>
  <c r="B3" i="42"/>
  <c r="B6" i="42"/>
  <c r="B9" i="42"/>
  <c r="B8" i="42"/>
  <c r="B2" i="42"/>
  <c r="E9" i="44"/>
  <c r="F9" i="44" a="1"/>
  <c r="F9" i="44"/>
  <c r="G9" i="44" a="1"/>
  <c r="G9" i="44"/>
  <c r="H9" i="44" a="1"/>
  <c r="H9" i="44"/>
  <c r="I9" i="44" a="1"/>
  <c r="I9" i="44"/>
  <c r="J9" i="44" a="1"/>
  <c r="J9" i="44"/>
  <c r="K9" i="44" a="1"/>
  <c r="K9" i="44"/>
  <c r="L9" i="44" a="1"/>
  <c r="L9" i="44"/>
  <c r="M9" i="44" a="1"/>
  <c r="M9" i="44"/>
  <c r="N9" i="44" a="1"/>
  <c r="N9" i="44"/>
  <c r="O9" i="44" a="1"/>
  <c r="O9" i="44"/>
  <c r="P9" i="44" a="1"/>
  <c r="P9" i="44"/>
  <c r="Q9" i="44" a="1"/>
  <c r="Q9" i="44"/>
  <c r="R9" i="44" a="1"/>
  <c r="R9" i="44"/>
  <c r="S9" i="44" a="1"/>
  <c r="S9" i="44"/>
  <c r="T9" i="44" a="1"/>
  <c r="T9" i="44"/>
  <c r="C18" i="52"/>
  <c r="C12" i="52"/>
  <c r="I11" i="52"/>
  <c r="G11" i="52"/>
  <c r="E11" i="52"/>
  <c r="C11" i="52"/>
  <c r="I10" i="52"/>
  <c r="C10" i="52"/>
  <c r="C6" i="44"/>
  <c r="C7" i="44"/>
  <c r="C8" i="44"/>
  <c r="C9" i="44"/>
  <c r="O6" i="44" a="1"/>
  <c r="M6" i="44" a="1"/>
  <c r="S5" i="44" a="1"/>
  <c r="N5" i="44" a="1"/>
  <c r="F5" i="44" a="1"/>
  <c r="K4" i="44" a="1"/>
  <c r="J5" i="44" a="1"/>
  <c r="N8" i="44" a="1"/>
  <c r="P8" i="44" a="1"/>
  <c r="K5" i="44" a="1"/>
  <c r="Q6" i="44" a="1"/>
  <c r="S4" i="44" a="1"/>
  <c r="S8" i="44" a="1"/>
  <c r="Q8" i="44" a="1"/>
  <c r="I5" i="44" a="1"/>
  <c r="T7" i="44" a="1"/>
  <c r="P4" i="44" a="1"/>
  <c r="R5" i="44" a="1"/>
  <c r="E7" i="44" a="1"/>
  <c r="K7" i="44" a="1"/>
  <c r="O5" i="44" a="1"/>
  <c r="N4" i="44" a="1"/>
  <c r="H5" i="44" a="1"/>
  <c r="O7" i="44" a="1"/>
  <c r="E6" i="44" a="1"/>
  <c r="H8" i="44" a="1"/>
  <c r="F6" i="44" a="1"/>
  <c r="S7" i="44" a="1"/>
  <c r="G6" i="44" a="1"/>
  <c r="T5" i="44" a="1"/>
  <c r="R8" i="44" a="1"/>
  <c r="J6" i="44" a="1"/>
  <c r="Q7" i="44" a="1"/>
  <c r="M5" i="44" a="1"/>
  <c r="T4" i="44" a="1"/>
  <c r="H4" i="44" a="1"/>
  <c r="P6" i="44" a="1"/>
  <c r="Q5" i="44" a="1"/>
  <c r="G7" i="44" a="1"/>
  <c r="T6" i="44" a="1"/>
  <c r="R7" i="44" a="1"/>
  <c r="O8" i="44" a="1"/>
  <c r="Q4" i="44" a="1"/>
  <c r="L4" i="44" a="1"/>
  <c r="P7" i="44" a="1"/>
  <c r="G4" i="44" a="1"/>
  <c r="K8" i="44" a="1"/>
  <c r="J8" i="44" a="1"/>
  <c r="E8" i="44" a="1"/>
  <c r="J4" i="44" a="1"/>
  <c r="P5" i="44" a="1"/>
  <c r="G5" i="44" a="1"/>
  <c r="O4" i="44" a="1"/>
  <c r="R6" i="44" a="1"/>
  <c r="N7" i="44" a="1"/>
  <c r="R4" i="44" a="1"/>
  <c r="S6" i="44" a="1"/>
  <c r="M4" i="44" a="1"/>
  <c r="H6" i="44" a="1"/>
  <c r="G8" i="44" a="1"/>
  <c r="E4" i="44" a="1"/>
  <c r="L7" i="44" a="1"/>
  <c r="I8" i="44" a="1"/>
  <c r="L6" i="44" a="1"/>
  <c r="M8" i="44" a="1"/>
  <c r="K6" i="44" a="1"/>
  <c r="L5" i="44" a="1"/>
  <c r="I7" i="44" a="1"/>
  <c r="E5" i="44" a="1"/>
  <c r="L8" i="44" a="1"/>
  <c r="I4" i="44" a="1"/>
  <c r="F8" i="44" a="1"/>
  <c r="I6" i="44" a="1"/>
  <c r="F7" i="44" a="1"/>
  <c r="M7" i="44" a="1"/>
  <c r="H7" i="44" a="1"/>
  <c r="F4" i="44" a="1"/>
  <c r="T8" i="44" a="1"/>
  <c r="N6" i="44" a="1"/>
  <c r="J7" i="44" a="1"/>
  <c r="R4" i="44" l="1"/>
  <c r="N6" i="44"/>
  <c r="I7" i="44"/>
  <c r="K5" i="44"/>
  <c r="P8" i="44"/>
  <c r="O4" i="44"/>
  <c r="Q8" i="44"/>
  <c r="L5" i="44"/>
  <c r="S8" i="44"/>
  <c r="K4" i="44"/>
  <c r="T5" i="44"/>
  <c r="G5" i="44"/>
  <c r="F4" i="44"/>
  <c r="T7" i="44"/>
  <c r="M6" i="44"/>
  <c r="F8" i="44"/>
  <c r="M8" i="44"/>
  <c r="E4" i="44"/>
  <c r="I5" i="44"/>
  <c r="M4" i="44"/>
  <c r="H7" i="44"/>
  <c r="I4" i="44"/>
  <c r="S6" i="44"/>
  <c r="E8" i="44"/>
  <c r="G8" i="44"/>
  <c r="M5" i="44"/>
  <c r="H5" i="44"/>
  <c r="L8" i="44"/>
  <c r="R6" i="44"/>
  <c r="L6" i="44"/>
  <c r="I8" i="44"/>
  <c r="E5" i="44"/>
  <c r="G6" i="44"/>
  <c r="Q7" i="44"/>
  <c r="J8" i="44"/>
  <c r="H6" i="44"/>
  <c r="L4" i="44"/>
  <c r="F5" i="44"/>
  <c r="N7" i="44"/>
  <c r="F6" i="44"/>
  <c r="P5" i="44"/>
  <c r="G7" i="44"/>
  <c r="O8" i="44"/>
  <c r="K7" i="44"/>
  <c r="K8" i="44"/>
  <c r="O7" i="44"/>
  <c r="Q4" i="44"/>
  <c r="H4" i="44"/>
  <c r="T4" i="44"/>
  <c r="K6" i="44"/>
  <c r="S7" i="44"/>
  <c r="T8" i="44"/>
  <c r="N8" i="44"/>
  <c r="E7" i="44"/>
  <c r="J6" i="44"/>
  <c r="R8" i="44"/>
  <c r="N4" i="44"/>
  <c r="O5" i="44"/>
  <c r="M7" i="44"/>
  <c r="H8" i="44"/>
  <c r="R7" i="44"/>
  <c r="O6" i="44"/>
  <c r="J5" i="44"/>
  <c r="R5" i="44"/>
  <c r="Q5" i="44"/>
  <c r="T6" i="44"/>
  <c r="S4" i="44"/>
  <c r="Q6" i="44"/>
  <c r="L7" i="44"/>
  <c r="F7" i="44"/>
  <c r="I6" i="44"/>
  <c r="J7" i="44"/>
  <c r="P4" i="44"/>
  <c r="P7" i="44"/>
  <c r="G4" i="44"/>
  <c r="E6" i="44"/>
  <c r="P6" i="44"/>
  <c r="N5" i="44"/>
  <c r="S5" i="44"/>
  <c r="J4" i="44"/>
  <c r="O3" i="44" a="1"/>
  <c r="J3" i="44" a="1"/>
  <c r="R3" i="44" a="1"/>
  <c r="H3" i="44" a="1"/>
  <c r="K3" i="44" a="1"/>
  <c r="P3" i="44" a="1"/>
  <c r="L3" i="44" a="1"/>
  <c r="N3" i="44" a="1"/>
  <c r="S3" i="44" a="1"/>
  <c r="E3" i="44" a="1"/>
  <c r="Q3" i="44" a="1"/>
  <c r="I3" i="44" a="1"/>
  <c r="G3" i="44" a="1"/>
  <c r="F3" i="44" a="1"/>
  <c r="T3" i="44" a="1"/>
  <c r="M3" i="44" a="1"/>
  <c r="M3" i="44" l="1"/>
  <c r="T3" i="44"/>
  <c r="F3" i="44"/>
  <c r="G3" i="44"/>
  <c r="I3" i="44"/>
  <c r="Q3" i="44"/>
  <c r="E3" i="44"/>
  <c r="S3" i="44"/>
  <c r="N3" i="44"/>
  <c r="L3" i="44"/>
  <c r="P3" i="44"/>
  <c r="K3" i="44"/>
  <c r="H3" i="44"/>
  <c r="R3" i="44"/>
  <c r="J3" i="44"/>
  <c r="O3" i="44"/>
  <c r="C13" i="18"/>
  <c r="C4" i="44"/>
  <c r="C5" i="44"/>
  <c r="C3" i="44"/>
  <c r="C4" i="42"/>
  <c r="B45" i="42" a="1"/>
  <c r="B53" i="42" a="1"/>
  <c r="B66" i="42" a="1"/>
  <c r="B62" i="42" a="1"/>
  <c r="B33" i="42" a="1"/>
  <c r="B65" i="42" a="1"/>
  <c r="B35" i="42" a="1"/>
  <c r="B18" i="42" a="1"/>
  <c r="B23" i="42" a="1"/>
  <c r="B55" i="42" a="1"/>
  <c r="B58" i="42" a="1"/>
  <c r="B60" i="42" a="1"/>
  <c r="B39" i="42" a="1"/>
  <c r="B25" i="42" a="1"/>
  <c r="B67" i="42" a="1"/>
  <c r="B13" i="42" a="1"/>
  <c r="B32" i="42" a="1"/>
  <c r="B38" i="42" a="1"/>
  <c r="B1" i="42" a="1"/>
  <c r="B54" i="42" a="1"/>
  <c r="B50" i="42" a="1"/>
  <c r="B59" i="42" a="1"/>
  <c r="B22" i="42" a="1"/>
  <c r="B44" i="42" a="1"/>
  <c r="B27" i="42" a="1"/>
  <c r="B63" i="42" a="1"/>
  <c r="B16" i="42" a="1"/>
  <c r="B43" i="42" a="1"/>
  <c r="B19" i="42" a="1"/>
  <c r="B24" i="42" a="1"/>
  <c r="B42" i="42" a="1"/>
  <c r="B64" i="42" a="1"/>
  <c r="B28" i="42" a="1"/>
  <c r="B56" i="42" a="1"/>
  <c r="B21" i="42" a="1"/>
  <c r="B61" i="42" a="1"/>
  <c r="B14" i="42" a="1"/>
  <c r="B57" i="42" a="1"/>
  <c r="B30" i="42" a="1"/>
  <c r="B46" i="42" a="1"/>
  <c r="B48" i="42" a="1"/>
  <c r="B37" i="42" a="1"/>
  <c r="B26" i="42" a="1"/>
  <c r="B47" i="42" a="1"/>
  <c r="B29" i="42" a="1"/>
  <c r="B34" i="42" a="1"/>
  <c r="B36" i="42" a="1"/>
  <c r="B41" i="42" a="1"/>
  <c r="B12" i="42" a="1"/>
  <c r="B15" i="42" a="1"/>
  <c r="B20" i="42" a="1"/>
  <c r="B49" i="42" a="1"/>
  <c r="B51" i="42" a="1"/>
  <c r="B52" i="42" a="1"/>
  <c r="B31" i="42" a="1"/>
  <c r="B40" i="42" a="1"/>
  <c r="B17" i="42" a="1"/>
  <c r="B51" i="42" l="1"/>
  <c r="B50" i="42"/>
  <c r="B38" i="42"/>
  <c r="B14" i="42"/>
  <c r="B67" i="42"/>
  <c r="B43" i="42"/>
  <c r="B54" i="42"/>
  <c r="B36" i="42"/>
  <c r="B12" i="42"/>
  <c r="B57" i="42"/>
  <c r="B33" i="42"/>
  <c r="B15" i="42"/>
  <c r="B56" i="42"/>
  <c r="B55" i="42"/>
  <c r="B31" i="42"/>
  <c r="B25" i="42"/>
  <c r="B48" i="42"/>
  <c r="B18" i="42"/>
  <c r="B65" i="42"/>
  <c r="B59" i="42"/>
  <c r="B53" i="42"/>
  <c r="B47" i="42"/>
  <c r="B41" i="42"/>
  <c r="B35" i="42"/>
  <c r="B23" i="42"/>
  <c r="B17" i="42"/>
  <c r="B39" i="42"/>
  <c r="B21" i="42"/>
  <c r="B44" i="42"/>
  <c r="B26" i="42"/>
  <c r="B61" i="42"/>
  <c r="B37" i="42"/>
  <c r="B13" i="42"/>
  <c r="B60" i="42"/>
  <c r="B30" i="42"/>
  <c r="B29" i="42"/>
  <c r="B63" i="42"/>
  <c r="B45" i="42"/>
  <c r="B27" i="42"/>
  <c r="B62" i="42"/>
  <c r="B32" i="42"/>
  <c r="B20" i="42"/>
  <c r="B49" i="42"/>
  <c r="B19" i="42"/>
  <c r="B66" i="42"/>
  <c r="B42" i="42"/>
  <c r="B24" i="42"/>
  <c r="B64" i="42"/>
  <c r="B58" i="42"/>
  <c r="B52" i="42"/>
  <c r="B46" i="42"/>
  <c r="B40" i="42"/>
  <c r="B34" i="42"/>
  <c r="B28" i="42"/>
  <c r="B22" i="42"/>
  <c r="B16" i="42"/>
  <c r="B1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<sst xmlns="http://schemas.openxmlformats.org/spreadsheetml/2006/main" count="456" uniqueCount="188">
  <si>
    <t>번호</t>
    <phoneticPr fontId="3" type="noConversion"/>
  </si>
  <si>
    <t>중요도</t>
  </si>
  <si>
    <t>제목</t>
  </si>
  <si>
    <t>작업시작일</t>
  </si>
  <si>
    <t>작업종료일</t>
  </si>
  <si>
    <t>진행상태</t>
  </si>
  <si>
    <t>낮음</t>
  </si>
  <si>
    <t>진행상태</t>
    <phoneticPr fontId="3" type="noConversion"/>
  </si>
  <si>
    <t>할당</t>
  </si>
  <si>
    <t>검색번호</t>
    <phoneticPr fontId="3" type="noConversion"/>
  </si>
  <si>
    <t>제목</t>
    <phoneticPr fontId="3" type="noConversion"/>
  </si>
  <si>
    <t>내용</t>
    <phoneticPr fontId="3" type="noConversion"/>
  </si>
  <si>
    <t>상위(이전)번호</t>
    <phoneticPr fontId="3" type="noConversion"/>
  </si>
  <si>
    <t>첨부파일</t>
    <phoneticPr fontId="3" type="noConversion"/>
  </si>
  <si>
    <t>날짜</t>
    <phoneticPr fontId="3" type="noConversion"/>
  </si>
  <si>
    <t>작업 목록</t>
    <phoneticPr fontId="3" type="noConversion"/>
  </si>
  <si>
    <t>진행상황</t>
    <phoneticPr fontId="3" type="noConversion"/>
  </si>
  <si>
    <t>=CONCAT(TEXT(C2,"yyyy-MM-dd")," ",LEFT(I50,LEN(I50)-5), "-",E2)</t>
    <phoneticPr fontId="3" type="noConversion"/>
  </si>
  <si>
    <t>할당</t>
    <phoneticPr fontId="3" type="noConversion"/>
  </si>
  <si>
    <t>작업중</t>
    <phoneticPr fontId="3" type="noConversion"/>
  </si>
  <si>
    <t>주석</t>
    <phoneticPr fontId="3" type="noConversion"/>
  </si>
  <si>
    <t>=CONCAT($I$3, " ", 콤보박스!$B$26, " (",C19, ")  ",  $C$6)</t>
    <phoneticPr fontId="3" type="noConversion"/>
  </si>
  <si>
    <t>재할당</t>
    <phoneticPr fontId="3" type="noConversion"/>
  </si>
  <si>
    <t>='2023-12-19 (2)'!C5	='2023-12-19 (2)'!C6			='2023-12-19 (2)'!F5	='2023-12-19 (2)'!I5	='2023-12-19 (2)'!G2	='2023-12-19 (2)'!C6	='2023-12-19 (2)'!J2</t>
    <phoneticPr fontId="3" type="noConversion"/>
  </si>
  <si>
    <t>보류</t>
    <phoneticPr fontId="3" type="noConversion"/>
  </si>
  <si>
    <t>취소</t>
    <phoneticPr fontId="3" type="noConversion"/>
  </si>
  <si>
    <t>조건부서식</t>
    <phoneticPr fontId="3" type="noConversion"/>
  </si>
  <si>
    <t>=(콤보박스!$B$9=$J1)</t>
    <phoneticPr fontId="3" type="noConversion"/>
  </si>
  <si>
    <t>시트명</t>
    <phoneticPr fontId="3" type="noConversion"/>
  </si>
  <si>
    <t>=MID(CELL("filename",A1),FIND("]",CELL("filename",A1))+1,255)</t>
    <phoneticPr fontId="3" type="noConversion"/>
  </si>
  <si>
    <t>음</t>
    <phoneticPr fontId="3" type="noConversion"/>
  </si>
  <si>
    <t>2024-01-09 (3)	=concat("='",$B2,"'!$C$5")	=concat("='",$B2,"'!$C$6")			=concat("='",$B2,"'!$F$5")	=concat("='",$B2,"'!$I$5")	=concat("='",$B2,"'!$G$2")	=concat("='",$B2,"'!$C$3")	=concat("='",$B2,"'!$J$2")</t>
    <phoneticPr fontId="3" type="noConversion"/>
  </si>
  <si>
    <t>시트명 일괄</t>
    <phoneticPr fontId="3" type="noConversion"/>
  </si>
  <si>
    <t>'=REPLACE(GET.WORKBOOK(1),1,FIND("]",GET.WORKBOOK(1)),"")</t>
  </si>
  <si>
    <t>'=INDEX(ListSheets,A1)</t>
  </si>
  <si>
    <t>=CONCAT($F$5, " ", $C$2, " ", 콤보박스!$B$26, " (",C18, ")  ",  $C$6)</t>
    <phoneticPr fontId="3" type="noConversion"/>
  </si>
  <si>
    <t>신규기능</t>
  </si>
  <si>
    <t>기능개선</t>
  </si>
  <si>
    <t>오류처리</t>
  </si>
  <si>
    <t>확인요청</t>
  </si>
  <si>
    <t>높음</t>
    <phoneticPr fontId="3" type="noConversion"/>
  </si>
  <si>
    <t>중간</t>
    <phoneticPr fontId="3" type="noConversion"/>
  </si>
  <si>
    <t>낮음</t>
    <phoneticPr fontId="3" type="noConversion"/>
  </si>
  <si>
    <t>작업할당일</t>
    <phoneticPr fontId="3" type="noConversion"/>
  </si>
  <si>
    <t>작업시작일</t>
    <phoneticPr fontId="3" type="noConversion"/>
  </si>
  <si>
    <t>작업종료일</t>
    <phoneticPr fontId="3" type="noConversion"/>
  </si>
  <si>
    <t>작업시간</t>
  </si>
  <si>
    <t>작업시간</t>
    <phoneticPr fontId="3" type="noConversion"/>
  </si>
  <si>
    <t>개발완료</t>
    <phoneticPr fontId="3" type="noConversion"/>
  </si>
  <si>
    <t>시스템</t>
  </si>
  <si>
    <t>거래처관리</t>
  </si>
  <si>
    <t>주문관리</t>
  </si>
  <si>
    <t>QMS관리</t>
  </si>
  <si>
    <t>리포트</t>
  </si>
  <si>
    <t>정보공유</t>
  </si>
  <si>
    <t>품목관리</t>
  </si>
  <si>
    <t>프로모션</t>
  </si>
  <si>
    <t>마이페이지</t>
  </si>
  <si>
    <t>진행과정</t>
    <phoneticPr fontId="3" type="noConversion"/>
  </si>
  <si>
    <t>환경설정</t>
  </si>
  <si>
    <t>사용자현황</t>
  </si>
  <si>
    <t>우편번호관리</t>
  </si>
  <si>
    <t>출고지 관리</t>
  </si>
  <si>
    <t>공통코드</t>
  </si>
  <si>
    <t>권한관리</t>
  </si>
  <si>
    <t>거래처현황</t>
  </si>
  <si>
    <t>주문등록</t>
  </si>
  <si>
    <t>웹주문현황</t>
  </si>
  <si>
    <t>전체주문현황</t>
  </si>
  <si>
    <t>QMS 조회 및 등록</t>
  </si>
  <si>
    <t>QMS 설정</t>
  </si>
  <si>
    <t>QMS 조직설정</t>
  </si>
  <si>
    <t>QMS 마감</t>
  </si>
  <si>
    <t>내화구조관리</t>
  </si>
  <si>
    <t>QMS 집계</t>
  </si>
  <si>
    <t>QMS 발급대장</t>
  </si>
  <si>
    <t>QMS 품목관리</t>
  </si>
  <si>
    <t>납품확인서</t>
  </si>
  <si>
    <t>거래사실확인</t>
  </si>
  <si>
    <t>공지사항</t>
  </si>
  <si>
    <t>FAQ</t>
  </si>
  <si>
    <t>자료실</t>
  </si>
  <si>
    <t>샘플요청</t>
  </si>
  <si>
    <t>약관관리</t>
  </si>
  <si>
    <t>월간일정</t>
  </si>
  <si>
    <t>팝업관리</t>
  </si>
  <si>
    <t>배너관리</t>
  </si>
  <si>
    <t>일괄관리</t>
  </si>
  <si>
    <t>이벤트현황</t>
  </si>
  <si>
    <t>이벤트등록</t>
  </si>
  <si>
    <t>조직설정</t>
  </si>
  <si>
    <t>나의정보</t>
  </si>
  <si>
    <t>채팅 피드백</t>
    <phoneticPr fontId="3" type="noConversion"/>
  </si>
  <si>
    <t>기타</t>
    <phoneticPr fontId="3" type="noConversion"/>
  </si>
  <si>
    <t>중요도</t>
    <phoneticPr fontId="3" type="noConversion"/>
  </si>
  <si>
    <t>추가</t>
    <phoneticPr fontId="3" type="noConversion"/>
  </si>
  <si>
    <t>수정</t>
    <phoneticPr fontId="3" type="noConversion"/>
  </si>
  <si>
    <t>삭제</t>
    <phoneticPr fontId="3" type="noConversion"/>
  </si>
  <si>
    <t>작업형태</t>
    <phoneticPr fontId="3" type="noConversion"/>
  </si>
  <si>
    <t>=</t>
  </si>
  <si>
    <t>=ROW()-2</t>
  </si>
  <si>
    <t>='2024-10-17'!I2</t>
  </si>
  <si>
    <t>='2024-10-17'!C3</t>
  </si>
  <si>
    <t>='2024-10-17'!C13</t>
  </si>
  <si>
    <t>='2024-10-17'!F3</t>
  </si>
  <si>
    <t>='2024-10-17'!I3</t>
  </si>
  <si>
    <t>='2024-10-17'!C12</t>
  </si>
  <si>
    <t>='2024-10-17'!F12</t>
  </si>
  <si>
    <t>='2024-10-17'!G11</t>
  </si>
  <si>
    <t>=CONCAT('2024-10-17'!C4, " &gt; ", '2024-10-17'!F4)</t>
  </si>
  <si>
    <t>목차</t>
    <phoneticPr fontId="3" type="noConversion"/>
  </si>
  <si>
    <t>검색 키워드</t>
  </si>
  <si>
    <t>질의/응답</t>
    <phoneticPr fontId="3" type="noConversion"/>
  </si>
  <si>
    <t>작업순서</t>
  </si>
  <si>
    <t>작업순서</t>
    <phoneticPr fontId="3" type="noConversion"/>
  </si>
  <si>
    <t>질의/응답</t>
  </si>
  <si>
    <t>답변자</t>
    <phoneticPr fontId="3" type="noConversion"/>
  </si>
  <si>
    <t>JSP</t>
  </si>
  <si>
    <t>JAVA</t>
  </si>
  <si>
    <t>XML</t>
  </si>
  <si>
    <t>DB</t>
  </si>
  <si>
    <t>상위 내용과 일치 합니다.</t>
    <phoneticPr fontId="3" type="noConversion"/>
  </si>
  <si>
    <t>요청자</t>
    <phoneticPr fontId="3" type="noConversion"/>
  </si>
  <si>
    <t>질의자</t>
    <phoneticPr fontId="3" type="noConversion"/>
  </si>
  <si>
    <t>답변자</t>
    <phoneticPr fontId="3" type="noConversion"/>
  </si>
  <si>
    <t>요청자</t>
  </si>
  <si>
    <t>번호</t>
  </si>
  <si>
    <t>작업번호</t>
  </si>
  <si>
    <t>작업번호</t>
    <phoneticPr fontId="3" type="noConversion"/>
  </si>
  <si>
    <t>대메뉴</t>
  </si>
  <si>
    <t>대메뉴</t>
    <phoneticPr fontId="3" type="noConversion"/>
  </si>
  <si>
    <t>소메뉴</t>
  </si>
  <si>
    <t>소메뉴</t>
    <phoneticPr fontId="3" type="noConversion"/>
  </si>
  <si>
    <t>중메뉴</t>
  </si>
  <si>
    <t>중메뉴</t>
    <phoneticPr fontId="3" type="noConversion"/>
  </si>
  <si>
    <t>상위번호</t>
  </si>
  <si>
    <t>시트명</t>
  </si>
  <si>
    <t>작업할당일</t>
  </si>
  <si>
    <t>목차명</t>
    <phoneticPr fontId="3" type="noConversion"/>
  </si>
  <si>
    <t>'=INDIRECT(CONCAT("'",TEXT($E3, "yyyy-mm-dd"),"'","!$B$3"))</t>
  </si>
  <si>
    <t>'=INDIRECT(CONCAT("'",TEXT($E3, "yyyy-mm-dd"),"'","!$B$2"))</t>
  </si>
  <si>
    <t>'=INDIRECT(CONCAT("'",TEXT($E3, "yyyy-mm-dd"),"'","!$E$2"))</t>
  </si>
  <si>
    <t>'=INDIRECT(CONCAT("'",TEXT($E3, "yyyy-mm-dd"),"'","!$H$2"))</t>
  </si>
  <si>
    <t>'=INDIRECT(CONCAT("'",TEXT($E3, "yyyy-mm-dd"),"'","!$H$3"))</t>
  </si>
  <si>
    <t>'=INDIRECT(CONCAT("'",TEXT($E3, "yyyy-mm-dd"),"'","!$B$6"))</t>
  </si>
  <si>
    <t>'=INDIRECT(CONCAT("'",TEXT($E3, "yyyy-mm-dd"),"'","!$E$3"))</t>
  </si>
  <si>
    <t>'=INDIRECT(CONCAT("'",TEXT($E3, "yyyy-mm-dd"),"'","!$B$4"))</t>
  </si>
  <si>
    <t>'=INDIRECT(CONCAT("'",TEXT($E3, "yyyy-mm-dd"),"'","!$E$4"))</t>
  </si>
  <si>
    <t>'=INDIRECT(CONCAT("'",TEXT($E3, "yyyy-mm-dd"),"'","!$H$4"))</t>
  </si>
  <si>
    <t>'=INDIRECT(CONCAT("'",TEXT($E3, "yyyy-mm-dd"),"'","!$B$5"))</t>
  </si>
  <si>
    <t>'=INDIRECT(CONCAT("'",TEXT($E3, "yyyy-mm-dd"),"'","!$E$5"))</t>
  </si>
  <si>
    <t>'=INDIRECT(CONCAT("'",TEXT($E3, "yyyy-mm-dd"),"'","!$H$F"))</t>
  </si>
  <si>
    <t>목차값</t>
    <phoneticPr fontId="3" type="noConversion"/>
  </si>
  <si>
    <t>'=INDIRECT(CONCAT("'",TEXT($E3, "yyyy-mm-dd"),"'","!$C$3"))</t>
  </si>
  <si>
    <t>'=INDIRECT(CONCAT("'",TEXT($E3, "yyyy-mm-dd"),"'","!$C$2"))</t>
  </si>
  <si>
    <t>'=INDIRECT(CONCAT("'",TEXT($E3, "yyyy-mm-dd"),"'","!$F$2"))</t>
  </si>
  <si>
    <t>'=INDIRECT(CONCAT("'",TEXT($E3, "yyyy-mm-dd"),"'","!$I$2"))</t>
  </si>
  <si>
    <t>'=INDIRECT(CONCAT("'",TEXT($E3, "yyyy-mm-dd"),"'","!$I$3"))</t>
  </si>
  <si>
    <t>'=INDIRECT(CONCAT("'",TEXT($E3, "yyyy-mm-dd"),"'","!$C$6"))</t>
  </si>
  <si>
    <t>'=INDIRECT(CONCAT("'",TEXT($E3, "yyyy-mm-dd"),"'","!$F$3"))</t>
  </si>
  <si>
    <t>'=INDIRECT(CONCAT("'",TEXT($E3, "yyyy-mm-dd"),"'","!$C$4"))</t>
  </si>
  <si>
    <t>'=INDIRECT(CONCAT("'",TEXT($E3, "yyyy-mm-dd"),"'","!$F$4"))</t>
  </si>
  <si>
    <t>'=INDIRECT(CONCAT("'",TEXT($E3, "yyyy-mm-dd"),"'","!$I$4"))</t>
  </si>
  <si>
    <t>'=INDIRECT(CONCAT("'",TEXT($E3, "yyyy-mm-dd"),"'","!$C$5"))</t>
  </si>
  <si>
    <t>'=INDIRECT(CONCAT("'",TEXT($E3, "yyyy-mm-dd"),"'","!$F$5"))</t>
  </si>
  <si>
    <t>'=INDIRECT(CONCAT("'",TEXT($E3, "yyyy-mm-dd"),"'","!$I$F"))</t>
  </si>
  <si>
    <t>상위번호</t>
    <phoneticPr fontId="3" type="noConversion"/>
  </si>
  <si>
    <t>실제작업시작일</t>
    <phoneticPr fontId="3" type="noConversion"/>
  </si>
  <si>
    <t>실제작업종료일</t>
    <phoneticPr fontId="3" type="noConversion"/>
  </si>
  <si>
    <t>완료</t>
    <phoneticPr fontId="3" type="noConversion"/>
  </si>
  <si>
    <t>품목현황</t>
  </si>
  <si>
    <t>거래내역(주문)</t>
  </si>
  <si>
    <t>거래내역(품목)</t>
  </si>
  <si>
    <t>QMS  조회 및 등록</t>
  </si>
  <si>
    <t>거래사실확인서</t>
  </si>
  <si>
    <t>이벤트</t>
  </si>
  <si>
    <t>게시글 등록</t>
  </si>
  <si>
    <t>대메뉴(admin)</t>
    <phoneticPr fontId="3" type="noConversion"/>
  </si>
  <si>
    <t>대메뉴(front)</t>
    <phoneticPr fontId="3" type="noConversion"/>
  </si>
  <si>
    <t>2024-11-22</t>
  </si>
  <si>
    <t>에이디컨설팅 전형철 수석 건의사항</t>
  </si>
  <si>
    <t>3. 튜닝안 일부 반영</t>
  </si>
  <si>
    <t xml:space="preserve">  - LOGINLOG 테이블에 신규 인덱스 2개를 생성하였습니다.</t>
  </si>
  <si>
    <t>4. 쿼리 수정 지원</t>
  </si>
  <si>
    <t xml:space="preserve">  - 대상 쿼리 : Daily Accumulated Order Volume Check</t>
  </si>
  <si>
    <t>에이디컨설팅 전형철 수석</t>
  </si>
  <si>
    <t>크나우프석고보드_ORACLEtoMSSQL_마이그레이션결과_20241122</t>
  </si>
  <si>
    <t>2024-11-22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</si>
</sst>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2" fillId="2" borderId="2" xfId="0" applyFont="1" applyFill="1" applyBorder="1" applyAlignment="1">
      <alignment horizontal="right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2" fillId="2" borderId="6" xfId="0" applyFont="1" applyFill="1" applyBorder="1" applyAlignment="1">
      <alignment horizontal="right" vertical="center"/>
    </xf>
    <xf numFmtId="14" fontId="0" fillId="0" borderId="7" xfId="0" applyNumberFormat="1" applyBorder="1">
      <alignment vertical="center"/>
    </xf>
    <xf numFmtId="0" fontId="0" fillId="0" borderId="8" xfId="0" applyBorder="1">
      <alignment vertical="center"/>
    </xf>
    <xf numFmtId="49" fontId="0" fillId="3" borderId="3" xfId="0" applyNumberFormat="1" applyFill="1" applyBorder="1">
      <alignment vertical="center"/>
    </xf>
    <xf numFmtId="49" fontId="0" fillId="3" borderId="4" xfId="0" applyNumberFormat="1" applyFill="1" applyBorder="1">
      <alignment vertical="center"/>
    </xf>
    <xf numFmtId="0" fontId="2" fillId="2" borderId="10" xfId="0" applyFont="1" applyFill="1" applyBorder="1" applyAlignment="1">
      <alignment horizontal="right" vertical="center"/>
    </xf>
    <xf numFmtId="49" fontId="0" fillId="3" borderId="11" xfId="0" applyNumberFormat="1" applyFill="1" applyBorder="1">
      <alignment vertical="center"/>
    </xf>
    <xf numFmtId="0" fontId="2" fillId="2" borderId="9" xfId="0" applyFont="1" applyFill="1" applyBorder="1" applyAlignment="1">
      <alignment horizontal="right" vertical="center"/>
    </xf>
    <xf numFmtId="49" fontId="0" fillId="3" borderId="12" xfId="0" applyNumberFormat="1" applyFill="1" applyBorder="1">
      <alignment vertical="center"/>
    </xf>
    <xf numFmtId="49" fontId="0" fillId="3" borderId="13" xfId="0" applyNumberForma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4" xfId="0" applyNumberFormat="1" applyFont="1" applyFill="1" applyBorder="1" applyAlignment="1">
      <alignment horizontal="left" vertical="center"/>
    </xf>
    <xf numFmtId="49" fontId="4" fillId="3" borderId="15" xfId="0" applyNumberFormat="1" applyFont="1" applyFill="1" applyBorder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49" fontId="4" fillId="3" borderId="11" xfId="0" applyNumberFormat="1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right" vertical="center"/>
    </xf>
    <xf numFmtId="0" fontId="2" fillId="2" borderId="16" xfId="0" applyFont="1" applyFill="1" applyBorder="1" applyAlignment="1">
      <alignment horizontal="right" vertical="center"/>
    </xf>
    <xf numFmtId="49" fontId="4" fillId="3" borderId="16" xfId="0" applyNumberFormat="1" applyFont="1" applyFill="1" applyBorder="1" applyAlignment="1">
      <alignment horizontal="left" vertical="center"/>
    </xf>
    <xf numFmtId="49" fontId="4" fillId="3" borderId="12" xfId="0" applyNumberFormat="1" applyFont="1" applyFill="1" applyBorder="1" applyAlignment="1">
      <alignment horizontal="left" vertical="center"/>
    </xf>
    <xf numFmtId="49" fontId="4" fillId="3" borderId="13" xfId="0" applyNumberFormat="1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right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right" vertical="center"/>
    </xf>
    <xf numFmtId="49" fontId="4" fillId="0" borderId="19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4" xfId="0" applyNumberFormat="1" applyFont="1" applyBorder="1" applyAlignment="1">
      <alignment horizontal="left" vertical="center"/>
    </xf>
    <xf numFmtId="0" fontId="2" fillId="4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right" vertical="center"/>
    </xf>
    <xf numFmtId="49" fontId="4" fillId="0" borderId="22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0" borderId="11" xfId="0" applyNumberFormat="1" applyFont="1" applyBorder="1" applyAlignment="1">
      <alignment horizontal="left" vertical="center"/>
    </xf>
    <xf numFmtId="0" fontId="2" fillId="4" borderId="23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49" fontId="0" fillId="3" borderId="0" xfId="0" applyNumberFormat="1" applyFill="1">
      <alignment vertical="center"/>
    </xf>
    <xf numFmtId="0" fontId="0" fillId="3" borderId="8" xfId="0" applyFill="1" applyBorder="1">
      <alignment vertical="center"/>
    </xf>
    <xf numFmtId="49" fontId="0" fillId="3" borderId="8" xfId="0" applyNumberForma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0" borderId="5" xfId="0" quotePrefix="1" applyBorder="1">
      <alignment vertical="center"/>
    </xf>
    <xf numFmtId="49" fontId="0" fillId="0" borderId="8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8" xfId="0" applyNumberFormat="1" applyBorder="1" applyAlignment="1">
      <alignment horizontal="right" vertical="center"/>
    </xf>
    <xf numFmtId="0" fontId="2" fillId="3" borderId="21" xfId="0" applyFont="1" applyFill="1" applyBorder="1" applyAlignment="1">
      <alignment horizontal="right" vertical="center"/>
    </xf>
    <xf numFmtId="49" fontId="4" fillId="3" borderId="22" xfId="0" applyNumberFormat="1" applyFont="1" applyFill="1" applyBorder="1" applyAlignment="1">
      <alignment horizontal="left" vertical="center"/>
    </xf>
    <xf numFmtId="0" fontId="2" fillId="3" borderId="24" xfId="0" applyFont="1" applyFill="1" applyBorder="1" applyAlignment="1">
      <alignment horizontal="right" vertical="center"/>
    </xf>
    <xf numFmtId="49" fontId="4" fillId="3" borderId="25" xfId="0" applyNumberFormat="1" applyFont="1" applyFill="1" applyBorder="1" applyAlignment="1">
      <alignment horizontal="left" vertical="center"/>
    </xf>
    <xf numFmtId="0" fontId="0" fillId="4" borderId="2" xfId="0" applyFill="1" applyBorder="1" applyAlignment="1">
      <alignment horizontal="right" vertical="center"/>
    </xf>
    <xf numFmtId="49" fontId="0" fillId="0" borderId="0" xfId="0" applyNumberFormat="1">
      <alignment vertical="center"/>
    </xf>
    <xf numFmtId="0" fontId="1" fillId="0" borderId="8" xfId="1" applyBorder="1">
      <alignment vertical="center"/>
    </xf>
    <xf numFmtId="14" fontId="0" fillId="3" borderId="8" xfId="0" applyNumberFormat="1" applyFill="1" applyBorder="1">
      <alignment vertical="center"/>
    </xf>
    <xf numFmtId="14" fontId="0" fillId="3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3" borderId="8" xfId="0" applyNumberFormat="1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14" fontId="0" fillId="3" borderId="7" xfId="0" applyNumberFormat="1" applyFill="1" applyBorder="1">
      <alignment vertical="center"/>
    </xf>
    <xf numFmtId="14" fontId="0" fillId="0" borderId="8" xfId="0" applyNumberFormat="1" applyBorder="1">
      <alignment vertical="center"/>
    </xf>
    <xf numFmtId="0" fontId="0" fillId="0" borderId="7" xfId="0" quotePrefix="1" applyBorder="1" applyAlignment="1">
      <alignment horizontal="center" vertical="center"/>
    </xf>
    <xf numFmtId="0" fontId="0" fillId="3" borderId="7" xfId="0" quotePrefix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4" fillId="3" borderId="0" xfId="0" applyNumberFormat="1" applyFont="1" applyFill="1" applyBorder="1" applyAlignment="1">
      <alignment horizontal="left" vertical="center"/>
    </xf>
    <xf numFmtId="49" fontId="0" fillId="3" borderId="0" xfId="0" applyNumberFormat="1" applyFill="1" applyBorder="1">
      <alignment vertical="center"/>
    </xf>
  </cellXfs>
  <cellStyles count="2">
    <cellStyle name="표준" xfId="0" builtinId="0"/>
    <cellStyle name="하이퍼링크" xfId="1" builtinId="8"/>
  </cellStyles>
  <dxfs count="16">
    <dxf>
      <fill>
        <patternFill>
          <bgColor theme="8" tint="0.59996337778862885"/>
        </patternFill>
      </fill>
    </dxf>
    <dxf>
      <fill>
        <patternFill>
          <bgColor theme="8" tint="-0.499984740745262"/>
        </patternFill>
      </fill>
    </dxf>
    <dxf>
      <fill>
        <patternFill>
          <bgColor theme="8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\2024\2024-11-22%20(3)%20&#50640;&#51060;&#46356;&#52968;&#49444;&#54021;%20&#51204;&#54805;&#52384;%20&#49688;&#49437;%20&#44148;&#51032;&#49324;&#54637;\&#53356;&#45208;&#50864;&#54532;&#49437;&#44256;&#48372;&#46300;_ORACLEtoMSSQL_&#47560;&#51060;&#44536;&#47112;&#51060;&#49496;&#44208;&#44284;_20241122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DA8D-EE83-41BA-8650-A328DFA25D29}">
  <sheetPr codeName="Sheet1"/>
  <dimension ref="B1:J61"/>
  <sheetViews>
    <sheetView topLeftCell="A18" workbookViewId="0">
      <selection activeCell="L6" sqref="L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4" t="s">
        <v>12</v>
      </c>
      <c r="C2" s="69"/>
      <c r="D2" s="56"/>
      <c r="E2" s="7" t="s">
        <v>127</v>
      </c>
      <c r="F2" s="69"/>
      <c r="G2" s="69"/>
      <c r="H2" s="7" t="s">
        <v>122</v>
      </c>
      <c r="I2" s="57"/>
      <c r="J2" s="8"/>
    </row>
    <row r="3" spans="2:10" ht="18" thickBot="1" x14ac:dyDescent="0.45">
      <c r="B3" s="4" t="s">
        <v>94</v>
      </c>
      <c r="C3" s="52" t="s">
        <v>6</v>
      </c>
      <c r="D3" s="70"/>
      <c r="E3" s="7" t="s">
        <v>43</v>
      </c>
      <c r="F3" s="53"/>
      <c r="G3" s="70"/>
      <c r="H3" s="7" t="s">
        <v>7</v>
      </c>
      <c r="I3" s="75" t="s">
        <v>8</v>
      </c>
      <c r="J3" s="54"/>
    </row>
    <row r="4" spans="2:10" ht="18" thickBot="1" x14ac:dyDescent="0.45">
      <c r="B4" s="4" t="s">
        <v>167</v>
      </c>
      <c r="C4" s="69"/>
      <c r="D4" s="11"/>
      <c r="E4" s="7" t="s">
        <v>168</v>
      </c>
      <c r="F4" s="69"/>
      <c r="G4" s="11"/>
      <c r="H4" s="7" t="s">
        <v>47</v>
      </c>
      <c r="I4" s="11"/>
      <c r="J4" s="58"/>
    </row>
    <row r="5" spans="2:10" ht="18" thickBot="1" x14ac:dyDescent="0.45">
      <c r="B5" s="4" t="s">
        <v>177</v>
      </c>
      <c r="C5" s="72"/>
      <c r="D5" s="70"/>
      <c r="E5" s="7" t="s">
        <v>134</v>
      </c>
      <c r="F5" s="68"/>
      <c r="G5" s="70"/>
      <c r="H5" s="7" t="s">
        <v>132</v>
      </c>
      <c r="I5" s="70"/>
      <c r="J5" s="54"/>
    </row>
    <row r="6" spans="2:10" ht="18" thickBot="1" x14ac:dyDescent="0.45">
      <c r="B6" s="4" t="s">
        <v>178</v>
      </c>
      <c r="C6" s="67"/>
      <c r="D6" s="70"/>
      <c r="E6" s="7" t="s">
        <v>134</v>
      </c>
      <c r="F6" s="68"/>
      <c r="G6" s="70"/>
      <c r="H6" s="7" t="s">
        <v>132</v>
      </c>
      <c r="I6" s="70"/>
      <c r="J6" s="54"/>
    </row>
    <row r="7" spans="2:10" ht="18" thickBot="1" x14ac:dyDescent="0.45">
      <c r="B7" s="4" t="s">
        <v>10</v>
      </c>
      <c r="C7" s="57"/>
      <c r="D7" s="57"/>
      <c r="E7" s="57"/>
      <c r="F7" s="57"/>
      <c r="G7" s="57"/>
      <c r="H7" s="57"/>
      <c r="I7" s="57"/>
      <c r="J7" s="58"/>
    </row>
    <row r="8" spans="2:10" x14ac:dyDescent="0.4">
      <c r="B8" s="9" t="s">
        <v>11</v>
      </c>
      <c r="C8" s="21"/>
      <c r="D8" s="12"/>
      <c r="E8" s="12"/>
      <c r="F8" s="12"/>
      <c r="G8" s="12"/>
      <c r="H8" s="12"/>
      <c r="I8" s="12"/>
      <c r="J8" s="13"/>
    </row>
    <row r="9" spans="2:10" x14ac:dyDescent="0.4">
      <c r="B9" s="14"/>
      <c r="C9" s="25"/>
      <c r="D9" s="51"/>
      <c r="E9" s="51"/>
      <c r="F9" s="51"/>
      <c r="G9" s="51"/>
      <c r="H9" s="51"/>
      <c r="I9" s="51"/>
      <c r="J9" s="15"/>
    </row>
    <row r="10" spans="2:10" ht="18" thickBot="1" x14ac:dyDescent="0.45">
      <c r="B10" s="16"/>
      <c r="C10" s="17"/>
      <c r="D10" s="17"/>
      <c r="E10" s="17"/>
      <c r="F10" s="17"/>
      <c r="G10" s="17"/>
      <c r="H10" s="17"/>
      <c r="I10" s="17"/>
      <c r="J10" s="18"/>
    </row>
    <row r="11" spans="2:10" ht="18" thickBot="1" x14ac:dyDescent="0.45">
      <c r="B11" s="4" t="s">
        <v>13</v>
      </c>
      <c r="C11" s="11"/>
      <c r="D11" s="11"/>
      <c r="E11" s="11"/>
      <c r="F11" s="11"/>
      <c r="G11" s="11"/>
      <c r="H11" s="11"/>
      <c r="I11" s="11"/>
      <c r="J11" s="8"/>
    </row>
    <row r="12" spans="2:10" ht="18" thickBot="1" x14ac:dyDescent="0.45"/>
    <row r="13" spans="2:10" ht="18" thickBot="1" x14ac:dyDescent="0.45">
      <c r="B13" s="4" t="s">
        <v>0</v>
      </c>
      <c r="C13" s="69">
        <f>$F$2</f>
        <v>0</v>
      </c>
      <c r="D13" s="11"/>
      <c r="E13" s="7" t="s">
        <v>7</v>
      </c>
      <c r="F13" s="74" t="s">
        <v>8</v>
      </c>
      <c r="G13" s="8"/>
      <c r="H13" s="7" t="s">
        <v>111</v>
      </c>
      <c r="I13" s="11"/>
      <c r="J13" s="8"/>
    </row>
    <row r="14" spans="2:10" ht="18" thickBot="1" x14ac:dyDescent="0.45">
      <c r="B14" s="4" t="s">
        <v>44</v>
      </c>
      <c r="C14" s="53"/>
      <c r="D14" s="52"/>
      <c r="E14" s="7" t="s">
        <v>45</v>
      </c>
      <c r="F14" s="53"/>
      <c r="G14" s="52"/>
      <c r="H14" s="7" t="s">
        <v>46</v>
      </c>
      <c r="I14" s="71"/>
      <c r="J14" s="54"/>
    </row>
    <row r="15" spans="2:10" ht="18" thickBot="1" x14ac:dyDescent="0.45">
      <c r="B15" s="4" t="s">
        <v>10</v>
      </c>
      <c r="C15" s="57" t="s">
        <v>121</v>
      </c>
      <c r="D15" s="57"/>
      <c r="E15" s="57"/>
      <c r="F15" s="57"/>
      <c r="G15" s="57"/>
      <c r="H15" s="59"/>
      <c r="I15" s="57"/>
      <c r="J15" s="58"/>
    </row>
    <row r="16" spans="2:10" x14ac:dyDescent="0.4">
      <c r="B16" s="9" t="s">
        <v>11</v>
      </c>
      <c r="C16" s="21"/>
      <c r="D16" s="12"/>
      <c r="E16" s="12"/>
      <c r="F16" s="12"/>
      <c r="G16" s="12"/>
      <c r="H16" s="12"/>
      <c r="I16" s="12"/>
      <c r="J16" s="13"/>
    </row>
    <row r="17" spans="2:10" x14ac:dyDescent="0.4">
      <c r="B17" s="14"/>
      <c r="C17" s="25"/>
      <c r="D17" s="51"/>
      <c r="E17" s="51"/>
      <c r="F17" s="51"/>
      <c r="G17" s="51"/>
      <c r="H17" s="51"/>
      <c r="I17" s="51"/>
      <c r="J17" s="15"/>
    </row>
    <row r="18" spans="2:10" ht="18" thickBot="1" x14ac:dyDescent="0.45">
      <c r="B18" s="16"/>
      <c r="C18" s="17"/>
      <c r="D18" s="17"/>
      <c r="E18" s="51"/>
      <c r="F18" s="51"/>
      <c r="G18" s="51"/>
      <c r="H18" s="51"/>
      <c r="I18" s="51"/>
      <c r="J18" s="15"/>
    </row>
    <row r="19" spans="2:10" ht="18" thickBot="1" x14ac:dyDescent="0.45">
      <c r="B19" s="4" t="s">
        <v>13</v>
      </c>
      <c r="C19" s="11"/>
      <c r="D19" s="11"/>
      <c r="E19" s="11"/>
      <c r="F19" s="11"/>
      <c r="G19" s="11"/>
      <c r="H19" s="11"/>
      <c r="I19" s="11"/>
      <c r="J19" s="8"/>
    </row>
    <row r="20" spans="2:10" ht="18" thickBot="1" x14ac:dyDescent="0.45">
      <c r="B20" s="9" t="s">
        <v>58</v>
      </c>
      <c r="C20" s="64" t="s">
        <v>98</v>
      </c>
      <c r="D20" s="19" t="s">
        <v>113</v>
      </c>
      <c r="E20" s="20" t="s">
        <v>14</v>
      </c>
      <c r="F20" s="5"/>
      <c r="G20" s="6"/>
      <c r="H20" s="7" t="s">
        <v>46</v>
      </c>
      <c r="I20" s="11"/>
      <c r="J20" s="8"/>
    </row>
    <row r="21" spans="2:10" x14ac:dyDescent="0.4">
      <c r="B21" s="14"/>
      <c r="C21" s="21"/>
      <c r="D21" s="22"/>
      <c r="E21" s="22"/>
      <c r="F21" s="22"/>
      <c r="G21" s="22"/>
      <c r="H21" s="22"/>
      <c r="I21" s="22"/>
      <c r="J21" s="23"/>
    </row>
    <row r="22" spans="2:10" x14ac:dyDescent="0.4">
      <c r="B22" s="14"/>
      <c r="C22" s="24"/>
      <c r="D22" s="25"/>
      <c r="E22" s="25"/>
      <c r="F22" s="25"/>
      <c r="G22" s="25"/>
      <c r="H22" s="25"/>
      <c r="I22" s="25"/>
      <c r="J22" s="26"/>
    </row>
    <row r="23" spans="2:10" x14ac:dyDescent="0.4">
      <c r="B23" s="14"/>
      <c r="C23" s="24"/>
      <c r="D23" s="25"/>
      <c r="E23" s="25"/>
      <c r="F23" s="25"/>
      <c r="G23" s="25"/>
      <c r="H23" s="25"/>
      <c r="I23" s="25"/>
      <c r="J23" s="26"/>
    </row>
    <row r="24" spans="2:10" x14ac:dyDescent="0.4">
      <c r="B24" s="14"/>
      <c r="C24" s="24"/>
      <c r="D24" s="25"/>
      <c r="E24" s="25"/>
      <c r="F24" s="25"/>
      <c r="G24" s="25"/>
      <c r="H24" s="25"/>
      <c r="I24" s="25"/>
      <c r="J24" s="26"/>
    </row>
    <row r="25" spans="2:10" x14ac:dyDescent="0.4">
      <c r="B25" s="14"/>
      <c r="C25" s="24"/>
      <c r="D25" s="25"/>
      <c r="E25" s="25"/>
      <c r="F25" s="25"/>
      <c r="G25" s="25"/>
      <c r="H25" s="25"/>
      <c r="I25" s="25"/>
      <c r="J25" s="26"/>
    </row>
    <row r="26" spans="2:10" x14ac:dyDescent="0.4">
      <c r="B26" s="27"/>
      <c r="C26" s="24"/>
      <c r="D26" s="25"/>
      <c r="E26" s="25"/>
      <c r="F26" s="25"/>
      <c r="G26" s="25"/>
      <c r="H26" s="25"/>
      <c r="I26" s="25"/>
      <c r="J26" s="26"/>
    </row>
    <row r="27" spans="2:10" x14ac:dyDescent="0.4">
      <c r="B27" s="27"/>
      <c r="C27" s="24"/>
      <c r="D27" s="25"/>
      <c r="E27" s="25"/>
      <c r="F27" s="25"/>
      <c r="G27" s="25"/>
      <c r="H27" s="25"/>
      <c r="I27" s="25"/>
      <c r="J27" s="26"/>
    </row>
    <row r="28" spans="2:10" ht="18" thickBot="1" x14ac:dyDescent="0.45">
      <c r="B28" s="28"/>
      <c r="C28" s="29"/>
      <c r="D28" s="30"/>
      <c r="E28" s="30"/>
      <c r="F28" s="30"/>
      <c r="G28" s="30"/>
      <c r="H28" s="30"/>
      <c r="I28" s="30"/>
      <c r="J28" s="31"/>
    </row>
    <row r="29" spans="2:10" ht="18" thickBot="1" x14ac:dyDescent="0.45">
      <c r="B29" s="9" t="s">
        <v>58</v>
      </c>
      <c r="C29" s="64" t="s">
        <v>98</v>
      </c>
      <c r="D29" s="19" t="s">
        <v>38</v>
      </c>
      <c r="E29" s="20" t="s">
        <v>14</v>
      </c>
      <c r="F29" s="5"/>
      <c r="G29" s="6"/>
      <c r="H29" s="7" t="s">
        <v>46</v>
      </c>
      <c r="I29" s="11"/>
      <c r="J29" s="8"/>
    </row>
    <row r="30" spans="2:10" x14ac:dyDescent="0.4">
      <c r="B30" s="14"/>
      <c r="C30" s="21"/>
      <c r="D30" s="22"/>
      <c r="E30" s="22"/>
      <c r="F30" s="22"/>
      <c r="G30" s="22"/>
      <c r="H30" s="22"/>
      <c r="I30" s="22"/>
      <c r="J30" s="23"/>
    </row>
    <row r="31" spans="2:10" x14ac:dyDescent="0.4">
      <c r="B31" s="14"/>
      <c r="C31" s="24"/>
      <c r="D31" s="25"/>
      <c r="E31" s="25"/>
      <c r="F31" s="25"/>
      <c r="G31" s="25"/>
      <c r="H31" s="25"/>
      <c r="I31" s="25"/>
      <c r="J31" s="26"/>
    </row>
    <row r="32" spans="2:10" x14ac:dyDescent="0.4">
      <c r="B32" s="14"/>
      <c r="C32" s="24"/>
      <c r="D32" s="25"/>
      <c r="E32" s="25"/>
      <c r="F32" s="25"/>
      <c r="G32" s="25"/>
      <c r="H32" s="25"/>
      <c r="I32" s="25"/>
      <c r="J32" s="26"/>
    </row>
    <row r="33" spans="2:10" x14ac:dyDescent="0.4">
      <c r="B33" s="14"/>
      <c r="C33" s="24"/>
      <c r="D33" s="25"/>
      <c r="E33" s="25"/>
      <c r="F33" s="25"/>
      <c r="G33" s="25"/>
      <c r="H33" s="25"/>
      <c r="I33" s="25"/>
      <c r="J33" s="26"/>
    </row>
    <row r="34" spans="2:10" x14ac:dyDescent="0.4">
      <c r="B34" s="14"/>
      <c r="C34" s="24"/>
      <c r="D34" s="25"/>
      <c r="E34" s="25"/>
      <c r="F34" s="25"/>
      <c r="G34" s="25"/>
      <c r="H34" s="25"/>
      <c r="I34" s="25"/>
      <c r="J34" s="26"/>
    </row>
    <row r="35" spans="2:10" x14ac:dyDescent="0.4">
      <c r="B35" s="27"/>
      <c r="C35" s="24"/>
      <c r="D35" s="25"/>
      <c r="E35" s="25"/>
      <c r="F35" s="25"/>
      <c r="G35" s="25"/>
      <c r="H35" s="25"/>
      <c r="I35" s="25"/>
      <c r="J35" s="26"/>
    </row>
    <row r="36" spans="2:10" x14ac:dyDescent="0.4">
      <c r="B36" s="27"/>
      <c r="C36" s="24"/>
      <c r="D36" s="25"/>
      <c r="E36" s="25"/>
      <c r="F36" s="25"/>
      <c r="G36" s="25"/>
      <c r="H36" s="25"/>
      <c r="I36" s="25"/>
      <c r="J36" s="26"/>
    </row>
    <row r="37" spans="2:10" ht="18" thickBot="1" x14ac:dyDescent="0.45">
      <c r="B37" s="28"/>
      <c r="C37" s="29"/>
      <c r="D37" s="30"/>
      <c r="E37" s="30"/>
      <c r="F37" s="30"/>
      <c r="G37" s="30"/>
      <c r="H37" s="30"/>
      <c r="I37" s="30"/>
      <c r="J37" s="31"/>
    </row>
    <row r="38" spans="2:10" ht="18" thickBot="1" x14ac:dyDescent="0.45">
      <c r="B38" s="4" t="s">
        <v>177</v>
      </c>
      <c r="C38" s="10"/>
      <c r="D38" s="57"/>
      <c r="E38" s="7" t="s">
        <v>134</v>
      </c>
      <c r="F38" s="55"/>
      <c r="G38" s="57"/>
      <c r="H38" s="7" t="s">
        <v>132</v>
      </c>
      <c r="I38" s="57"/>
      <c r="J38" s="8"/>
    </row>
    <row r="39" spans="2:10" ht="18" thickBot="1" x14ac:dyDescent="0.45">
      <c r="B39" s="4" t="s">
        <v>178</v>
      </c>
      <c r="C39" s="73"/>
      <c r="D39" s="57"/>
      <c r="E39" s="7" t="s">
        <v>134</v>
      </c>
      <c r="F39" s="55"/>
      <c r="G39" s="57"/>
      <c r="H39" s="7" t="s">
        <v>132</v>
      </c>
      <c r="I39" s="57"/>
      <c r="J39" s="8"/>
    </row>
    <row r="40" spans="2:10" x14ac:dyDescent="0.4">
      <c r="B40" s="32" t="s">
        <v>15</v>
      </c>
      <c r="C40" s="33"/>
      <c r="D40" s="34"/>
      <c r="E40" s="35"/>
      <c r="F40" s="36"/>
      <c r="G40" s="36"/>
      <c r="H40" s="36"/>
      <c r="I40" s="36"/>
      <c r="J40" s="37"/>
    </row>
    <row r="41" spans="2:10" x14ac:dyDescent="0.4">
      <c r="B41" s="27"/>
      <c r="C41" s="38"/>
      <c r="D41" s="60"/>
      <c r="E41" s="61"/>
      <c r="F41" s="25"/>
      <c r="G41" s="25"/>
      <c r="H41" s="25"/>
      <c r="I41" s="25"/>
      <c r="J41" s="26"/>
    </row>
    <row r="42" spans="2:10" x14ac:dyDescent="0.4">
      <c r="B42" s="27"/>
      <c r="C42" s="38"/>
      <c r="D42" s="39"/>
      <c r="E42" s="40"/>
      <c r="F42" s="41"/>
      <c r="G42" s="41"/>
      <c r="H42" s="41"/>
      <c r="I42" s="41"/>
      <c r="J42" s="42"/>
    </row>
    <row r="43" spans="2:10" x14ac:dyDescent="0.4">
      <c r="B43" s="27"/>
      <c r="C43" s="38"/>
      <c r="D43" s="60"/>
      <c r="E43" s="61"/>
      <c r="F43" s="25"/>
      <c r="G43" s="25"/>
      <c r="H43" s="25"/>
      <c r="I43" s="25"/>
      <c r="J43" s="26"/>
    </row>
    <row r="44" spans="2:10" ht="18" thickBot="1" x14ac:dyDescent="0.45">
      <c r="B44" s="28"/>
      <c r="C44" s="43"/>
      <c r="D44" s="62"/>
      <c r="E44" s="63"/>
      <c r="F44" s="30"/>
      <c r="G44" s="30"/>
      <c r="H44" s="30"/>
      <c r="I44" s="30"/>
      <c r="J44" s="31"/>
    </row>
    <row r="47" spans="2:10" ht="18" hidden="1" thickBot="1" x14ac:dyDescent="0.45">
      <c r="B47" s="9" t="s">
        <v>58</v>
      </c>
      <c r="C47" s="64" t="s">
        <v>98</v>
      </c>
      <c r="D47" s="19" t="s">
        <v>115</v>
      </c>
      <c r="E47" s="20" t="s">
        <v>14</v>
      </c>
      <c r="F47" s="5">
        <v>45630</v>
      </c>
      <c r="G47" s="6"/>
      <c r="H47" s="7" t="s">
        <v>123</v>
      </c>
      <c r="I47" s="11"/>
      <c r="J47" s="8"/>
    </row>
    <row r="48" spans="2:10" hidden="1" x14ac:dyDescent="0.4">
      <c r="B48" s="14"/>
      <c r="C48" s="21"/>
      <c r="D48" s="22"/>
      <c r="E48" s="22"/>
      <c r="F48" s="22"/>
      <c r="G48" s="22"/>
      <c r="H48" s="22"/>
      <c r="I48" s="22"/>
      <c r="J48" s="23"/>
    </row>
    <row r="49" spans="2:10" hidden="1" x14ac:dyDescent="0.4">
      <c r="B49" s="14"/>
      <c r="C49" s="24"/>
      <c r="D49" s="25"/>
      <c r="E49" s="25"/>
      <c r="F49" s="25"/>
      <c r="G49" s="25"/>
      <c r="H49" s="25"/>
      <c r="I49" s="25"/>
      <c r="J49" s="26"/>
    </row>
    <row r="50" spans="2:10" hidden="1" x14ac:dyDescent="0.4">
      <c r="B50" s="14"/>
      <c r="C50" s="24"/>
      <c r="D50" s="25"/>
      <c r="E50" s="25"/>
      <c r="F50" s="25"/>
      <c r="G50" s="25"/>
      <c r="H50" s="25"/>
      <c r="I50" s="25"/>
      <c r="J50" s="26"/>
    </row>
    <row r="51" spans="2:10" ht="18" hidden="1" thickBot="1" x14ac:dyDescent="0.45">
      <c r="B51" s="28"/>
      <c r="C51" s="29"/>
      <c r="D51" s="30"/>
      <c r="E51" s="30"/>
      <c r="F51" s="30"/>
      <c r="G51" s="30"/>
      <c r="H51" s="30"/>
      <c r="I51" s="30"/>
      <c r="J51" s="31"/>
    </row>
    <row r="52" spans="2:10" ht="18" hidden="1" thickBot="1" x14ac:dyDescent="0.45">
      <c r="B52" s="4" t="s">
        <v>13</v>
      </c>
      <c r="C52" s="66"/>
      <c r="D52" s="11"/>
      <c r="E52" s="11"/>
      <c r="F52" s="11"/>
      <c r="G52" s="11"/>
      <c r="H52" s="11"/>
      <c r="I52" s="11"/>
      <c r="J52" s="8"/>
    </row>
    <row r="53" spans="2:10" ht="18" hidden="1" thickBot="1" x14ac:dyDescent="0.45">
      <c r="B53" s="9" t="s">
        <v>58</v>
      </c>
      <c r="C53" s="64" t="s">
        <v>98</v>
      </c>
      <c r="D53" s="19" t="s">
        <v>115</v>
      </c>
      <c r="E53" s="20" t="s">
        <v>14</v>
      </c>
      <c r="F53" s="5">
        <v>45630</v>
      </c>
      <c r="G53" s="6"/>
      <c r="H53" s="7" t="s">
        <v>124</v>
      </c>
      <c r="I53" s="11"/>
      <c r="J53" s="8"/>
    </row>
    <row r="54" spans="2:10" hidden="1" x14ac:dyDescent="0.4">
      <c r="B54" s="14"/>
      <c r="C54" s="21"/>
      <c r="D54" s="22"/>
      <c r="E54" s="22"/>
      <c r="F54" s="22"/>
      <c r="G54" s="22"/>
      <c r="H54" s="22"/>
      <c r="I54" s="22"/>
      <c r="J54" s="23"/>
    </row>
    <row r="55" spans="2:10" hidden="1" x14ac:dyDescent="0.4">
      <c r="B55" s="14"/>
      <c r="C55" s="24"/>
      <c r="D55" s="25"/>
      <c r="E55" s="25"/>
      <c r="F55" s="25"/>
      <c r="G55" s="25"/>
      <c r="H55" s="25"/>
      <c r="I55" s="25"/>
      <c r="J55" s="26"/>
    </row>
    <row r="56" spans="2:10" hidden="1" x14ac:dyDescent="0.4">
      <c r="B56" s="14"/>
      <c r="C56" s="24"/>
      <c r="D56" s="25"/>
      <c r="E56" s="25"/>
      <c r="F56" s="25"/>
      <c r="G56" s="25"/>
      <c r="H56" s="25"/>
      <c r="I56" s="25"/>
      <c r="J56" s="26"/>
    </row>
    <row r="57" spans="2:10" hidden="1" x14ac:dyDescent="0.4">
      <c r="B57" s="14"/>
      <c r="C57" s="24"/>
      <c r="D57" s="25"/>
      <c r="E57" s="25"/>
      <c r="F57" s="25"/>
      <c r="G57" s="25"/>
      <c r="H57" s="25"/>
      <c r="I57" s="25"/>
      <c r="J57" s="26"/>
    </row>
    <row r="58" spans="2:10" hidden="1" x14ac:dyDescent="0.4">
      <c r="B58" s="14"/>
      <c r="C58" s="24"/>
      <c r="D58" s="25"/>
      <c r="E58" s="25"/>
      <c r="F58" s="25"/>
      <c r="G58" s="25"/>
      <c r="H58" s="25"/>
      <c r="I58" s="25"/>
      <c r="J58" s="26"/>
    </row>
    <row r="59" spans="2:10" hidden="1" x14ac:dyDescent="0.4">
      <c r="B59" s="14"/>
      <c r="C59" s="24"/>
      <c r="D59" s="25"/>
      <c r="E59" s="25"/>
      <c r="F59" s="25"/>
      <c r="G59" s="25"/>
      <c r="H59" s="25"/>
      <c r="I59" s="25"/>
      <c r="J59" s="26"/>
    </row>
    <row r="60" spans="2:10" hidden="1" x14ac:dyDescent="0.4">
      <c r="B60" s="14"/>
      <c r="C60" s="24"/>
      <c r="D60" s="25"/>
      <c r="E60" s="25"/>
      <c r="F60" s="25"/>
      <c r="G60" s="25"/>
      <c r="H60" s="25"/>
      <c r="I60" s="25"/>
      <c r="J60" s="26"/>
    </row>
    <row r="61" spans="2:10" ht="18" hidden="1" thickBot="1" x14ac:dyDescent="0.45">
      <c r="B61" s="28"/>
      <c r="C61" s="29"/>
      <c r="D61" s="30"/>
      <c r="E61" s="30"/>
      <c r="F61" s="30"/>
      <c r="G61" s="30"/>
      <c r="H61" s="30"/>
      <c r="I61" s="30"/>
      <c r="J61" s="3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BFC8AF2-B1E7-4BA2-8752-B99145BDD373}">
          <x14:formula1>
            <xm:f>콤보박스!$D$23:$D$27</xm:f>
          </x14:formula1>
          <xm:sqref>D40:D43</xm:sqref>
        </x14:dataValidation>
        <x14:dataValidation type="list" allowBlank="1" showInputMessage="1" showErrorMessage="1" xr:uid="{65E08301-1D10-441C-B2E2-65C136427001}">
          <x14:formula1>
            <xm:f>콤보박스!$D$2:$D$9</xm:f>
          </x14:formula1>
          <xm:sqref>D29 D20 D47 D53</xm:sqref>
        </x14:dataValidation>
        <x14:dataValidation type="list" allowBlank="1" showInputMessage="1" showErrorMessage="1" xr:uid="{12A56522-4B0E-49CE-8F52-C6072888C0D3}">
          <x14:formula1>
            <xm:f>콤보박스!$D$15:$D$19</xm:f>
          </x14:formula1>
          <xm:sqref>C40:C44</xm:sqref>
        </x14:dataValidation>
        <x14:dataValidation type="list" allowBlank="1" showInputMessage="1" showErrorMessage="1" xr:uid="{EE4953E1-40FA-448B-B52C-8FDF08E9DEAD}">
          <x14:formula1>
            <xm:f>콤보박스!$B$3:$B$9</xm:f>
          </x14:formula1>
          <xm:sqref>I3 F13</xm:sqref>
        </x14:dataValidation>
        <x14:dataValidation type="list" allowBlank="1" showInputMessage="1" showErrorMessage="1" xr:uid="{C2048C52-9B8C-41C0-98FD-8C112B9BA4C8}">
          <x14:formula1>
            <xm:f>콤보박스!$D$11:$D$13</xm:f>
          </x14:formula1>
          <xm:sqref>C3</xm:sqref>
        </x14:dataValidation>
        <x14:dataValidation type="list" allowBlank="1" showInputMessage="1" showErrorMessage="1" xr:uid="{0AE79E44-CF22-409D-8E85-29D79351C519}">
          <x14:formula1>
            <xm:f>콤보박스!$B$11:$B$20</xm:f>
          </x14:formula1>
          <xm:sqref>C5 C38</xm:sqref>
        </x14:dataValidation>
        <x14:dataValidation type="list" allowBlank="1" showInputMessage="1" showErrorMessage="1" xr:uid="{C63644FA-2E18-4B4C-B1B4-615F0820438D}">
          <x14:formula1>
            <xm:f>콤보박스!$B$23:$B$58</xm:f>
          </x14:formula1>
          <xm:sqref>F5 F38</xm:sqref>
        </x14:dataValidation>
        <x14:dataValidation type="list" allowBlank="1" showInputMessage="1" showErrorMessage="1" xr:uid="{2748B05F-EBE4-402A-920F-5A99A1F2AE5C}">
          <x14:formula1>
            <xm:f>콤보박스!$B$69:$B$76</xm:f>
          </x14:formula1>
          <xm:sqref>C6 C39</xm:sqref>
        </x14:dataValidation>
        <x14:dataValidation type="list" allowBlank="1" showInputMessage="1" showErrorMessage="1" xr:uid="{6A33D317-9B75-4623-8A5D-2C3D1FA3285B}">
          <x14:formula1>
            <xm:f>콤보박스!$B$78:$B$96</xm:f>
          </x14:formula1>
          <xm:sqref>F6 F39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C2F9D-62FD-4094-B7C3-82CCE426807C}">
  <dimension ref="C2:T9"/>
  <sheetViews>
    <sheetView tabSelected="1" workbookViewId="0">
      <selection activeCell="J16" sqref="J16"/>
    </sheetView>
  </sheetViews>
  <sheetFormatPr defaultRowHeight="17.399999999999999" x14ac:dyDescent="0.4"/>
  <cols>
    <col min="1" max="1" width="2.3984375" customWidth="1"/>
    <col min="2" max="2" width="3.796875" customWidth="1"/>
    <col min="3" max="3" width="5.5" bestFit="1" customWidth="1"/>
    <col min="4" max="4" width="14.19921875" bestFit="1" customWidth="1"/>
    <col min="5" max="5" width="7.3984375" bestFit="1" customWidth="1"/>
    <col min="6" max="6" width="12.3984375" bestFit="1" customWidth="1"/>
    <col min="7" max="7" width="15.59765625" bestFit="1" customWidth="1"/>
    <col min="8" max="8" width="7.3984375" bestFit="1" customWidth="1"/>
    <col min="9" max="9" width="9.19921875" bestFit="1" customWidth="1"/>
    <col min="10" max="10" width="64.3984375" bestFit="1" customWidth="1"/>
    <col min="11" max="13" width="11.19921875" bestFit="1" customWidth="1"/>
    <col min="14" max="14" width="9.19921875" bestFit="1" customWidth="1"/>
    <col min="15" max="15" width="9.5" bestFit="1" customWidth="1"/>
    <col min="16" max="16" width="17.69921875" bestFit="1" customWidth="1"/>
    <col min="17" max="17" width="14.19921875" bestFit="1" customWidth="1"/>
    <col min="18" max="19" width="13" bestFit="1" customWidth="1"/>
    <col min="20" max="20" width="13.69921875" bestFit="1" customWidth="1"/>
  </cols>
  <sheetData>
    <row r="2" spans="3:20" x14ac:dyDescent="0.4">
      <c r="C2" s="76" t="s">
        <v>0</v>
      </c>
      <c r="D2" s="76" t="s">
        <v>28</v>
      </c>
      <c r="E2" s="76" t="s">
        <v>94</v>
      </c>
      <c r="F2" s="76" t="s">
        <v>166</v>
      </c>
      <c r="G2" s="76" t="s">
        <v>128</v>
      </c>
      <c r="H2" s="76" t="s">
        <v>122</v>
      </c>
      <c r="I2" s="76" t="s">
        <v>7</v>
      </c>
      <c r="J2" s="76" t="s">
        <v>10</v>
      </c>
      <c r="K2" s="76" t="s">
        <v>43</v>
      </c>
      <c r="L2" s="76" t="s">
        <v>44</v>
      </c>
      <c r="M2" s="76" t="s">
        <v>45</v>
      </c>
      <c r="N2" s="76" t="s">
        <v>47</v>
      </c>
      <c r="O2" s="76" t="s">
        <v>130</v>
      </c>
      <c r="P2" s="76" t="s">
        <v>134</v>
      </c>
      <c r="Q2" s="76" t="s">
        <v>132</v>
      </c>
      <c r="R2" s="76" t="s">
        <v>130</v>
      </c>
      <c r="S2" s="76" t="s">
        <v>134</v>
      </c>
      <c r="T2" s="76" t="s">
        <v>132</v>
      </c>
    </row>
    <row r="3" spans="3:20" x14ac:dyDescent="0.4">
      <c r="C3" s="1">
        <f>ROW()-2</f>
        <v>1</v>
      </c>
      <c r="D3" t="s">
        <v>187</v>
      </c>
      <c r="E3" s="1" t="str" cm="1">
        <f t="array" aca="1" ref="E3" ca="1">INDIRECT(_xlfn.CONCAT("'",TEXT($D3, "yyyy-mm-dd"),"'","!$C$3"))</f>
        <v>낮음</v>
      </c>
      <c r="F3" s="1" cm="1">
        <f t="array" aca="1" ref="F3" ca="1">INDIRECT(_xlfn.CONCAT("'",TEXT($D3, "yyyy-mm-dd"),"'","!$C$2"))</f>
        <v>0</v>
      </c>
      <c r="G3" s="1" cm="1">
        <f t="array" aca="1" ref="G3" ca="1">INDIRECT(_xlfn.CONCAT("'",TEXT($D3, "yyyy-mm-dd"),"'","!$F$2"))</f>
        <v>0</v>
      </c>
      <c r="H3" s="1" t="str" cm="1">
        <f t="array" aca="1" ref="H3" ca="1">INDIRECT(_xlfn.CONCAT("'",TEXT($D3, "yyyy-mm-dd"),"'","!$I$2"))</f>
        <v>에이디컨설팅 전형철 수석</v>
      </c>
      <c r="I3" s="1" t="str" cm="1">
        <f t="array" aca="1" ref="I3" ca="1">INDIRECT(_xlfn.CONCAT("'",TEXT($D3, "yyyy-mm-dd"),"'","!$I$3"))</f>
        <v>할당</v>
      </c>
      <c r="J3" s="1" t="str" cm="1">
        <f t="array" aca="1" ref="J3" ca="1">INDIRECT(_xlfn.CONCAT("'",TEXT($D3, "yyyy-mm-dd"),"'","!$C$7"))</f>
        <v>에이디컨설팅 전형철 수석 건의사항</v>
      </c>
      <c r="K3" s="1" t="str" cm="1">
        <f t="array" aca="1" ref="K3" ca="1">INDIRECT(_xlfn.CONCAT("'",TEXT($D3, "yyyy-mm-dd"),"'","!$F$3"))</f>
        <v>2024-11-22</v>
      </c>
      <c r="L3" s="1" cm="1">
        <f t="array" aca="1" ref="L3" ca="1">INDIRECT(_xlfn.CONCAT("'",TEXT($D3, "yyyy-mm-dd"),"'","!$C$4"))</f>
        <v>0</v>
      </c>
      <c r="M3" s="1" cm="1">
        <f t="array" aca="1" ref="M3" ca="1">INDIRECT(_xlfn.CONCAT("'",TEXT($D3, "yyyy-mm-dd"),"'","!$F$4"))</f>
        <v>0</v>
      </c>
      <c r="N3" s="1" cm="1">
        <f t="array" aca="1" ref="N3" ca="1">INDIRECT(_xlfn.CONCAT("'",TEXT($D3, "yyyy-mm-dd"),"'","!$I$4"))</f>
        <v>0</v>
      </c>
      <c r="O3" s="1" cm="1">
        <f t="array" aca="1" ref="O3" ca="1">INDIRECT(_xlfn.CONCAT("'",TEXT($D3, "yyyy-mm-dd"),"'","!$C$5"))</f>
        <v>0</v>
      </c>
      <c r="P3" s="1" cm="1">
        <f t="array" aca="1" ref="P3" ca="1">INDIRECT(_xlfn.CONCAT("'",TEXT($D3, "yyyy-mm-dd"),"'","!$F$5"))</f>
        <v>0</v>
      </c>
      <c r="Q3" s="1" cm="1">
        <f t="array" aca="1" ref="Q3" ca="1">INDIRECT(_xlfn.CONCAT("'",TEXT($D3, "yyyy-mm-dd"),"'","!$I$5"))</f>
        <v>0</v>
      </c>
      <c r="R3" s="1" cm="1">
        <f t="array" aca="1" ref="R3" ca="1">INDIRECT(_xlfn.CONCAT("'",TEXT($D3, "yyyy-mm-dd"),"'","!$C$6"))</f>
        <v>0</v>
      </c>
      <c r="S3" s="1" cm="1">
        <f t="array" aca="1" ref="S3" ca="1">INDIRECT(_xlfn.CONCAT("'",TEXT($D3, "yyyy-mm-dd"),"'","!$F$6"))</f>
        <v>0</v>
      </c>
      <c r="T3" s="1" cm="1">
        <f t="array" aca="1" ref="T3" ca="1">INDIRECT(_xlfn.CONCAT("'",TEXT($D3, "yyyy-mm-dd"),"'","!$I$6"))</f>
        <v>0</v>
      </c>
    </row>
    <row r="4" spans="3:20" x14ac:dyDescent="0.4">
      <c r="C4" s="1">
        <f t="shared" ref="C4:C9" si="0">ROW()-2</f>
        <v>2</v>
      </c>
      <c r="D4" s="1"/>
      <c r="E4" s="1" t="e" cm="1">
        <f t="array" aca="1" ref="E4" ca="1">INDIRECT(_xlfn.CONCAT("'",TEXT($D4, "yyyy-mm-dd"),"'","!$C$3"))</f>
        <v>#REF!</v>
      </c>
      <c r="F4" s="1" t="e" cm="1">
        <f t="array" aca="1" ref="F4" ca="1">INDIRECT(_xlfn.CONCAT("'",TEXT($D4, "yyyy-mm-dd"),"'","!$C$2"))</f>
        <v>#REF!</v>
      </c>
      <c r="G4" s="1" t="e" cm="1">
        <f t="array" aca="1" ref="G4" ca="1">INDIRECT(_xlfn.CONCAT("'",TEXT($D4, "yyyy-mm-dd"),"'","!$F$2"))</f>
        <v>#REF!</v>
      </c>
      <c r="H4" s="1" t="e" cm="1">
        <f t="array" aca="1" ref="H4" ca="1">INDIRECT(_xlfn.CONCAT("'",TEXT($D4, "yyyy-mm-dd"),"'","!$I$2"))</f>
        <v>#REF!</v>
      </c>
      <c r="I4" s="1" t="e" cm="1">
        <f t="array" aca="1" ref="I4" ca="1">INDIRECT(_xlfn.CONCAT("'",TEXT($D4, "yyyy-mm-dd"),"'","!$I$3"))</f>
        <v>#REF!</v>
      </c>
      <c r="J4" s="1" t="e" cm="1">
        <f t="array" aca="1" ref="J4" ca="1">INDIRECT(_xlfn.CONCAT("'",TEXT($D4, "yyyy-mm-dd"),"'","!$C$7"))</f>
        <v>#REF!</v>
      </c>
      <c r="K4" s="1" t="e" cm="1">
        <f t="array" aca="1" ref="K4" ca="1">INDIRECT(_xlfn.CONCAT("'",TEXT($D4, "yyyy-mm-dd"),"'","!$F$3"))</f>
        <v>#REF!</v>
      </c>
      <c r="L4" s="1" t="e" cm="1">
        <f t="array" aca="1" ref="L4" ca="1">INDIRECT(_xlfn.CONCAT("'",TEXT($D4, "yyyy-mm-dd"),"'","!$C$4"))</f>
        <v>#REF!</v>
      </c>
      <c r="M4" s="1" t="e" cm="1">
        <f t="array" aca="1" ref="M4" ca="1">INDIRECT(_xlfn.CONCAT("'",TEXT($D4, "yyyy-mm-dd"),"'","!$F$4"))</f>
        <v>#REF!</v>
      </c>
      <c r="N4" s="1" t="e" cm="1">
        <f t="array" aca="1" ref="N4" ca="1">INDIRECT(_xlfn.CONCAT("'",TEXT($D4, "yyyy-mm-dd"),"'","!$I$4"))</f>
        <v>#REF!</v>
      </c>
      <c r="O4" s="1" t="e" cm="1">
        <f t="array" aca="1" ref="O4" ca="1">INDIRECT(_xlfn.CONCAT("'",TEXT($D4, "yyyy-mm-dd"),"'","!$C$5"))</f>
        <v>#REF!</v>
      </c>
      <c r="P4" s="1" t="e" cm="1">
        <f t="array" aca="1" ref="P4" ca="1">INDIRECT(_xlfn.CONCAT("'",TEXT($D4, "yyyy-mm-dd"),"'","!$F$5"))</f>
        <v>#REF!</v>
      </c>
      <c r="Q4" s="1" t="e" cm="1">
        <f t="array" aca="1" ref="Q4" ca="1">INDIRECT(_xlfn.CONCAT("'",TEXT($D4, "yyyy-mm-dd"),"'","!$I$5"))</f>
        <v>#REF!</v>
      </c>
      <c r="R4" s="1" t="e" cm="1">
        <f t="array" aca="1" ref="R4" ca="1">INDIRECT(_xlfn.CONCAT("'",TEXT($D4, "yyyy-mm-dd"),"'","!$C$6"))</f>
        <v>#REF!</v>
      </c>
      <c r="S4" s="1" t="e" cm="1">
        <f t="array" aca="1" ref="S4" ca="1">INDIRECT(_xlfn.CONCAT("'",TEXT($D4, "yyyy-mm-dd"),"'","!$F$6"))</f>
        <v>#REF!</v>
      </c>
      <c r="T4" s="1" t="e" cm="1">
        <f t="array" aca="1" ref="T4" ca="1">INDIRECT(_xlfn.CONCAT("'",TEXT($D4, "yyyy-mm-dd"),"'","!$I$6"))</f>
        <v>#REF!</v>
      </c>
    </row>
    <row r="5" spans="3:20" x14ac:dyDescent="0.4">
      <c r="C5" s="1">
        <f t="shared" si="0"/>
        <v>3</v>
      </c>
      <c r="D5" s="2"/>
      <c r="E5" s="1" t="e" cm="1">
        <f t="array" aca="1" ref="E5" ca="1">INDIRECT(_xlfn.CONCAT("'",TEXT($D5, "yyyy-mm-dd"),"'","!$C$3"))</f>
        <v>#REF!</v>
      </c>
      <c r="F5" s="1" t="e" cm="1">
        <f t="array" aca="1" ref="F5" ca="1">INDIRECT(_xlfn.CONCAT("'",TEXT($D5, "yyyy-mm-dd"),"'","!$C$2"))</f>
        <v>#REF!</v>
      </c>
      <c r="G5" s="1" t="e" cm="1">
        <f t="array" aca="1" ref="G5" ca="1">INDIRECT(_xlfn.CONCAT("'",TEXT($D5, "yyyy-mm-dd"),"'","!$F$2"))</f>
        <v>#REF!</v>
      </c>
      <c r="H5" s="1" t="e" cm="1">
        <f t="array" aca="1" ref="H5" ca="1">INDIRECT(_xlfn.CONCAT("'",TEXT($D5, "yyyy-mm-dd"),"'","!$I$2"))</f>
        <v>#REF!</v>
      </c>
      <c r="I5" s="1" t="e" cm="1">
        <f t="array" aca="1" ref="I5" ca="1">INDIRECT(_xlfn.CONCAT("'",TEXT($D5, "yyyy-mm-dd"),"'","!$I$3"))</f>
        <v>#REF!</v>
      </c>
      <c r="J5" s="1" t="e" cm="1">
        <f t="array" aca="1" ref="J5" ca="1">INDIRECT(_xlfn.CONCAT("'",TEXT($D5, "yyyy-mm-dd"),"'","!$C$7"))</f>
        <v>#REF!</v>
      </c>
      <c r="K5" s="1" t="e" cm="1">
        <f t="array" aca="1" ref="K5" ca="1">INDIRECT(_xlfn.CONCAT("'",TEXT($D5, "yyyy-mm-dd"),"'","!$F$3"))</f>
        <v>#REF!</v>
      </c>
      <c r="L5" s="1" t="e" cm="1">
        <f t="array" aca="1" ref="L5" ca="1">INDIRECT(_xlfn.CONCAT("'",TEXT($D5, "yyyy-mm-dd"),"'","!$C$4"))</f>
        <v>#REF!</v>
      </c>
      <c r="M5" s="1" t="e" cm="1">
        <f t="array" aca="1" ref="M5" ca="1">INDIRECT(_xlfn.CONCAT("'",TEXT($D5, "yyyy-mm-dd"),"'","!$F$4"))</f>
        <v>#REF!</v>
      </c>
      <c r="N5" s="1" t="e" cm="1">
        <f t="array" aca="1" ref="N5" ca="1">INDIRECT(_xlfn.CONCAT("'",TEXT($D5, "yyyy-mm-dd"),"'","!$I$4"))</f>
        <v>#REF!</v>
      </c>
      <c r="O5" s="1" t="e" cm="1">
        <f t="array" aca="1" ref="O5" ca="1">INDIRECT(_xlfn.CONCAT("'",TEXT($D5, "yyyy-mm-dd"),"'","!$C$5"))</f>
        <v>#REF!</v>
      </c>
      <c r="P5" s="1" t="e" cm="1">
        <f t="array" aca="1" ref="P5" ca="1">INDIRECT(_xlfn.CONCAT("'",TEXT($D5, "yyyy-mm-dd"),"'","!$F$5"))</f>
        <v>#REF!</v>
      </c>
      <c r="Q5" s="1" t="e" cm="1">
        <f t="array" aca="1" ref="Q5" ca="1">INDIRECT(_xlfn.CONCAT("'",TEXT($D5, "yyyy-mm-dd"),"'","!$I$5"))</f>
        <v>#REF!</v>
      </c>
      <c r="R5" s="1" t="e" cm="1">
        <f t="array" aca="1" ref="R5" ca="1">INDIRECT(_xlfn.CONCAT("'",TEXT($D5, "yyyy-mm-dd"),"'","!$C$6"))</f>
        <v>#REF!</v>
      </c>
      <c r="S5" s="1" t="e" cm="1">
        <f t="array" aca="1" ref="S5" ca="1">INDIRECT(_xlfn.CONCAT("'",TEXT($D5, "yyyy-mm-dd"),"'","!$F$6"))</f>
        <v>#REF!</v>
      </c>
      <c r="T5" s="1" t="e" cm="1">
        <f t="array" aca="1" ref="T5" ca="1">INDIRECT(_xlfn.CONCAT("'",TEXT($D5, "yyyy-mm-dd"),"'","!$I$6"))</f>
        <v>#REF!</v>
      </c>
    </row>
    <row r="6" spans="3:20" x14ac:dyDescent="0.4">
      <c r="C6" s="1">
        <f t="shared" si="0"/>
        <v>4</v>
      </c>
      <c r="D6" s="2"/>
      <c r="E6" s="1" t="e" cm="1">
        <f t="array" aca="1" ref="E6" ca="1">INDIRECT(_xlfn.CONCAT("'",TEXT($D6, "yyyy-mm-dd"),"'","!$C$3"))</f>
        <v>#REF!</v>
      </c>
      <c r="F6" s="1" t="e" cm="1">
        <f t="array" aca="1" ref="F6" ca="1">INDIRECT(_xlfn.CONCAT("'",TEXT($D6, "yyyy-mm-dd"),"'","!$C$2"))</f>
        <v>#REF!</v>
      </c>
      <c r="G6" s="1" t="e" cm="1">
        <f t="array" aca="1" ref="G6" ca="1">INDIRECT(_xlfn.CONCAT("'",TEXT($D6, "yyyy-mm-dd"),"'","!$F$2"))</f>
        <v>#REF!</v>
      </c>
      <c r="H6" s="1" t="e" cm="1">
        <f t="array" aca="1" ref="H6" ca="1">INDIRECT(_xlfn.CONCAT("'",TEXT($D6, "yyyy-mm-dd"),"'","!$I$2"))</f>
        <v>#REF!</v>
      </c>
      <c r="I6" s="1" t="e" cm="1">
        <f t="array" aca="1" ref="I6" ca="1">INDIRECT(_xlfn.CONCAT("'",TEXT($D6, "yyyy-mm-dd"),"'","!$I$3"))</f>
        <v>#REF!</v>
      </c>
      <c r="J6" s="1" t="e" cm="1">
        <f t="array" aca="1" ref="J6" ca="1">INDIRECT(_xlfn.CONCAT("'",TEXT($D6, "yyyy-mm-dd"),"'","!$C$7"))</f>
        <v>#REF!</v>
      </c>
      <c r="K6" s="1" t="e" cm="1">
        <f t="array" aca="1" ref="K6" ca="1">INDIRECT(_xlfn.CONCAT("'",TEXT($D6, "yyyy-mm-dd"),"'","!$F$3"))</f>
        <v>#REF!</v>
      </c>
      <c r="L6" s="1" t="e" cm="1">
        <f t="array" aca="1" ref="L6" ca="1">INDIRECT(_xlfn.CONCAT("'",TEXT($D6, "yyyy-mm-dd"),"'","!$C$4"))</f>
        <v>#REF!</v>
      </c>
      <c r="M6" s="1" t="e" cm="1">
        <f t="array" aca="1" ref="M6" ca="1">INDIRECT(_xlfn.CONCAT("'",TEXT($D6, "yyyy-mm-dd"),"'","!$F$4"))</f>
        <v>#REF!</v>
      </c>
      <c r="N6" s="1" t="e" cm="1">
        <f t="array" aca="1" ref="N6" ca="1">INDIRECT(_xlfn.CONCAT("'",TEXT($D6, "yyyy-mm-dd"),"'","!$I$4"))</f>
        <v>#REF!</v>
      </c>
      <c r="O6" s="1" t="e" cm="1">
        <f t="array" aca="1" ref="O6" ca="1">INDIRECT(_xlfn.CONCAT("'",TEXT($D6, "yyyy-mm-dd"),"'","!$C$5"))</f>
        <v>#REF!</v>
      </c>
      <c r="P6" s="1" t="e" cm="1">
        <f t="array" aca="1" ref="P6" ca="1">INDIRECT(_xlfn.CONCAT("'",TEXT($D6, "yyyy-mm-dd"),"'","!$F$5"))</f>
        <v>#REF!</v>
      </c>
      <c r="Q6" s="1" t="e" cm="1">
        <f t="array" aca="1" ref="Q6" ca="1">INDIRECT(_xlfn.CONCAT("'",TEXT($D6, "yyyy-mm-dd"),"'","!$I$5"))</f>
        <v>#REF!</v>
      </c>
      <c r="R6" s="1" t="e" cm="1">
        <f t="array" aca="1" ref="R6" ca="1">INDIRECT(_xlfn.CONCAT("'",TEXT($D6, "yyyy-mm-dd"),"'","!$C$6"))</f>
        <v>#REF!</v>
      </c>
      <c r="S6" s="1" t="e" cm="1">
        <f t="array" aca="1" ref="S6" ca="1">INDIRECT(_xlfn.CONCAT("'",TEXT($D6, "yyyy-mm-dd"),"'","!$F$6"))</f>
        <v>#REF!</v>
      </c>
      <c r="T6" s="1" t="e" cm="1">
        <f t="array" aca="1" ref="T6" ca="1">INDIRECT(_xlfn.CONCAT("'",TEXT($D6, "yyyy-mm-dd"),"'","!$I$6"))</f>
        <v>#REF!</v>
      </c>
    </row>
    <row r="7" spans="3:20" x14ac:dyDescent="0.4">
      <c r="C7" s="1">
        <f t="shared" si="0"/>
        <v>5</v>
      </c>
      <c r="D7" s="1"/>
      <c r="E7" s="1" t="e" cm="1">
        <f t="array" aca="1" ref="E7" ca="1">INDIRECT(_xlfn.CONCAT("'",TEXT($D7, "yyyy-mm-dd"),"'","!$C$3"))</f>
        <v>#REF!</v>
      </c>
      <c r="F7" s="1" t="e" cm="1">
        <f t="array" aca="1" ref="F7" ca="1">INDIRECT(_xlfn.CONCAT("'",TEXT($D7, "yyyy-mm-dd"),"'","!$C$2"))</f>
        <v>#REF!</v>
      </c>
      <c r="G7" s="1" t="e" cm="1">
        <f t="array" aca="1" ref="G7" ca="1">INDIRECT(_xlfn.CONCAT("'",TEXT($D7, "yyyy-mm-dd"),"'","!$F$2"))</f>
        <v>#REF!</v>
      </c>
      <c r="H7" s="1" t="e" cm="1">
        <f t="array" aca="1" ref="H7" ca="1">INDIRECT(_xlfn.CONCAT("'",TEXT($D7, "yyyy-mm-dd"),"'","!$I$2"))</f>
        <v>#REF!</v>
      </c>
      <c r="I7" s="1" t="e" cm="1">
        <f t="array" aca="1" ref="I7" ca="1">INDIRECT(_xlfn.CONCAT("'",TEXT($D7, "yyyy-mm-dd"),"'","!$I$3"))</f>
        <v>#REF!</v>
      </c>
      <c r="J7" s="1" t="e" cm="1">
        <f t="array" aca="1" ref="J7" ca="1">INDIRECT(_xlfn.CONCAT("'",TEXT($D7, "yyyy-mm-dd"),"'","!$C$7"))</f>
        <v>#REF!</v>
      </c>
      <c r="K7" s="1" t="e" cm="1">
        <f t="array" aca="1" ref="K7" ca="1">INDIRECT(_xlfn.CONCAT("'",TEXT($D7, "yyyy-mm-dd"),"'","!$F$3"))</f>
        <v>#REF!</v>
      </c>
      <c r="L7" s="1" t="e" cm="1">
        <f t="array" aca="1" ref="L7" ca="1">INDIRECT(_xlfn.CONCAT("'",TEXT($D7, "yyyy-mm-dd"),"'","!$C$4"))</f>
        <v>#REF!</v>
      </c>
      <c r="M7" s="1" t="e" cm="1">
        <f t="array" aca="1" ref="M7" ca="1">INDIRECT(_xlfn.CONCAT("'",TEXT($D7, "yyyy-mm-dd"),"'","!$F$4"))</f>
        <v>#REF!</v>
      </c>
      <c r="N7" s="1" t="e" cm="1">
        <f t="array" aca="1" ref="N7" ca="1">INDIRECT(_xlfn.CONCAT("'",TEXT($D7, "yyyy-mm-dd"),"'","!$I$4"))</f>
        <v>#REF!</v>
      </c>
      <c r="O7" s="1" t="e" cm="1">
        <f t="array" aca="1" ref="O7" ca="1">INDIRECT(_xlfn.CONCAT("'",TEXT($D7, "yyyy-mm-dd"),"'","!$C$5"))</f>
        <v>#REF!</v>
      </c>
      <c r="P7" s="1" t="e" cm="1">
        <f t="array" aca="1" ref="P7" ca="1">INDIRECT(_xlfn.CONCAT("'",TEXT($D7, "yyyy-mm-dd"),"'","!$F$5"))</f>
        <v>#REF!</v>
      </c>
      <c r="Q7" s="1" t="e" cm="1">
        <f t="array" aca="1" ref="Q7" ca="1">INDIRECT(_xlfn.CONCAT("'",TEXT($D7, "yyyy-mm-dd"),"'","!$I$5"))</f>
        <v>#REF!</v>
      </c>
      <c r="R7" s="1" t="e" cm="1">
        <f t="array" aca="1" ref="R7" ca="1">INDIRECT(_xlfn.CONCAT("'",TEXT($D7, "yyyy-mm-dd"),"'","!$C$6"))</f>
        <v>#REF!</v>
      </c>
      <c r="S7" s="1" t="e" cm="1">
        <f t="array" aca="1" ref="S7" ca="1">INDIRECT(_xlfn.CONCAT("'",TEXT($D7, "yyyy-mm-dd"),"'","!$F$6"))</f>
        <v>#REF!</v>
      </c>
      <c r="T7" s="1" t="e" cm="1">
        <f t="array" aca="1" ref="T7" ca="1">INDIRECT(_xlfn.CONCAT("'",TEXT($D7, "yyyy-mm-dd"),"'","!$I$6"))</f>
        <v>#REF!</v>
      </c>
    </row>
    <row r="8" spans="3:20" x14ac:dyDescent="0.4">
      <c r="C8" s="1">
        <f t="shared" si="0"/>
        <v>6</v>
      </c>
      <c r="D8" s="2"/>
      <c r="E8" s="1" t="e" cm="1">
        <f t="array" aca="1" ref="E8" ca="1">INDIRECT(_xlfn.CONCAT("'",TEXT($D8, "yyyy-mm-dd"),"'","!$C$3"))</f>
        <v>#REF!</v>
      </c>
      <c r="F8" s="1" t="e" cm="1">
        <f t="array" aca="1" ref="F8" ca="1">INDIRECT(_xlfn.CONCAT("'",TEXT($D8, "yyyy-mm-dd"),"'","!$C$2"))</f>
        <v>#REF!</v>
      </c>
      <c r="G8" s="1" t="e" cm="1">
        <f t="array" aca="1" ref="G8" ca="1">INDIRECT(_xlfn.CONCAT("'",TEXT($D8, "yyyy-mm-dd"),"'","!$F$2"))</f>
        <v>#REF!</v>
      </c>
      <c r="H8" s="1" t="e" cm="1">
        <f t="array" aca="1" ref="H8" ca="1">INDIRECT(_xlfn.CONCAT("'",TEXT($D8, "yyyy-mm-dd"),"'","!$I$2"))</f>
        <v>#REF!</v>
      </c>
      <c r="I8" s="1" t="e" cm="1">
        <f t="array" aca="1" ref="I8" ca="1">INDIRECT(_xlfn.CONCAT("'",TEXT($D8, "yyyy-mm-dd"),"'","!$I$3"))</f>
        <v>#REF!</v>
      </c>
      <c r="J8" s="1" t="e" cm="1">
        <f t="array" aca="1" ref="J8" ca="1">INDIRECT(_xlfn.CONCAT("'",TEXT($D8, "yyyy-mm-dd"),"'","!$C$7"))</f>
        <v>#REF!</v>
      </c>
      <c r="K8" s="1" t="e" cm="1">
        <f t="array" aca="1" ref="K8" ca="1">INDIRECT(_xlfn.CONCAT("'",TEXT($D8, "yyyy-mm-dd"),"'","!$F$3"))</f>
        <v>#REF!</v>
      </c>
      <c r="L8" s="1" t="e" cm="1">
        <f t="array" aca="1" ref="L8" ca="1">INDIRECT(_xlfn.CONCAT("'",TEXT($D8, "yyyy-mm-dd"),"'","!$C$4"))</f>
        <v>#REF!</v>
      </c>
      <c r="M8" s="1" t="e" cm="1">
        <f t="array" aca="1" ref="M8" ca="1">INDIRECT(_xlfn.CONCAT("'",TEXT($D8, "yyyy-mm-dd"),"'","!$F$4"))</f>
        <v>#REF!</v>
      </c>
      <c r="N8" s="1" t="e" cm="1">
        <f t="array" aca="1" ref="N8" ca="1">INDIRECT(_xlfn.CONCAT("'",TEXT($D8, "yyyy-mm-dd"),"'","!$I$4"))</f>
        <v>#REF!</v>
      </c>
      <c r="O8" s="1" t="e" cm="1">
        <f t="array" aca="1" ref="O8" ca="1">INDIRECT(_xlfn.CONCAT("'",TEXT($D8, "yyyy-mm-dd"),"'","!$C$5"))</f>
        <v>#REF!</v>
      </c>
      <c r="P8" s="1" t="e" cm="1">
        <f t="array" aca="1" ref="P8" ca="1">INDIRECT(_xlfn.CONCAT("'",TEXT($D8, "yyyy-mm-dd"),"'","!$F$5"))</f>
        <v>#REF!</v>
      </c>
      <c r="Q8" s="1" t="e" cm="1">
        <f t="array" aca="1" ref="Q8" ca="1">INDIRECT(_xlfn.CONCAT("'",TEXT($D8, "yyyy-mm-dd"),"'","!$I$5"))</f>
        <v>#REF!</v>
      </c>
      <c r="R8" s="1" t="e" cm="1">
        <f t="array" aca="1" ref="R8" ca="1">INDIRECT(_xlfn.CONCAT("'",TEXT($D8, "yyyy-mm-dd"),"'","!$C$6"))</f>
        <v>#REF!</v>
      </c>
      <c r="S8" s="1" t="e" cm="1">
        <f t="array" aca="1" ref="S8" ca="1">INDIRECT(_xlfn.CONCAT("'",TEXT($D8, "yyyy-mm-dd"),"'","!$F$6"))</f>
        <v>#REF!</v>
      </c>
      <c r="T8" s="1" t="e" cm="1">
        <f t="array" aca="1" ref="T8" ca="1">INDIRECT(_xlfn.CONCAT("'",TEXT($D8, "yyyy-mm-dd"),"'","!$I$6"))</f>
        <v>#REF!</v>
      </c>
    </row>
    <row r="9" spans="3:20" x14ac:dyDescent="0.4">
      <c r="C9" s="1">
        <f t="shared" si="0"/>
        <v>7</v>
      </c>
      <c r="D9" s="2"/>
      <c r="E9" s="1" t="e" cm="1">
        <f t="array" aca="1" ref="E9" ca="1">INDIRECT(_xlfn.CONCAT("'",TEXT($D9, "yyyy-mm-dd"),"'","!$C$3"))</f>
        <v>#REF!</v>
      </c>
      <c r="F9" s="1" t="e" cm="1">
        <f t="array" aca="1" ref="F9" ca="1">INDIRECT(_xlfn.CONCAT("'",TEXT($D9, "yyyy-mm-dd"),"'","!$C$2"))</f>
        <v>#REF!</v>
      </c>
      <c r="G9" s="1" t="e" cm="1">
        <f t="array" aca="1" ref="G9" ca="1">INDIRECT(_xlfn.CONCAT("'",TEXT($D9, "yyyy-mm-dd"),"'","!$F$2"))</f>
        <v>#REF!</v>
      </c>
      <c r="H9" s="1" t="e" cm="1">
        <f t="array" aca="1" ref="H9" ca="1">INDIRECT(_xlfn.CONCAT("'",TEXT($D9, "yyyy-mm-dd"),"'","!$I$2"))</f>
        <v>#REF!</v>
      </c>
      <c r="I9" s="1" t="e" cm="1">
        <f t="array" aca="1" ref="I9" ca="1">INDIRECT(_xlfn.CONCAT("'",TEXT($D9, "yyyy-mm-dd"),"'","!$I$3"))</f>
        <v>#REF!</v>
      </c>
      <c r="J9" s="1" t="e" cm="1">
        <f t="array" aca="1" ref="J9" ca="1">INDIRECT(_xlfn.CONCAT("'",TEXT($D9, "yyyy-mm-dd"),"'","!$C$7"))</f>
        <v>#REF!</v>
      </c>
      <c r="K9" s="1" t="e" cm="1">
        <f t="array" aca="1" ref="K9" ca="1">INDIRECT(_xlfn.CONCAT("'",TEXT($D9, "yyyy-mm-dd"),"'","!$F$3"))</f>
        <v>#REF!</v>
      </c>
      <c r="L9" s="1" t="e" cm="1">
        <f t="array" aca="1" ref="L9" ca="1">INDIRECT(_xlfn.CONCAT("'",TEXT($D9, "yyyy-mm-dd"),"'","!$C$4"))</f>
        <v>#REF!</v>
      </c>
      <c r="M9" s="1" t="e" cm="1">
        <f t="array" aca="1" ref="M9" ca="1">INDIRECT(_xlfn.CONCAT("'",TEXT($D9, "yyyy-mm-dd"),"'","!$F$4"))</f>
        <v>#REF!</v>
      </c>
      <c r="N9" s="1" t="e" cm="1">
        <f t="array" aca="1" ref="N9" ca="1">INDIRECT(_xlfn.CONCAT("'",TEXT($D9, "yyyy-mm-dd"),"'","!$I$4"))</f>
        <v>#REF!</v>
      </c>
      <c r="O9" s="1" t="e" cm="1">
        <f t="array" aca="1" ref="O9" ca="1">INDIRECT(_xlfn.CONCAT("'",TEXT($D9, "yyyy-mm-dd"),"'","!$C$5"))</f>
        <v>#REF!</v>
      </c>
      <c r="P9" s="1" t="e" cm="1">
        <f t="array" aca="1" ref="P9" ca="1">INDIRECT(_xlfn.CONCAT("'",TEXT($D9, "yyyy-mm-dd"),"'","!$F$5"))</f>
        <v>#REF!</v>
      </c>
      <c r="Q9" s="1" t="e" cm="1">
        <f t="array" aca="1" ref="Q9" ca="1">INDIRECT(_xlfn.CONCAT("'",TEXT($D9, "yyyy-mm-dd"),"'","!$I$5"))</f>
        <v>#REF!</v>
      </c>
      <c r="R9" s="1" t="e" cm="1">
        <f t="array" aca="1" ref="R9" ca="1">INDIRECT(_xlfn.CONCAT("'",TEXT($D9, "yyyy-mm-dd"),"'","!$C$6"))</f>
        <v>#REF!</v>
      </c>
      <c r="S9" s="1" t="e" cm="1">
        <f t="array" aca="1" ref="S9" ca="1">INDIRECT(_xlfn.CONCAT("'",TEXT($D9, "yyyy-mm-dd"),"'","!$F$6"))</f>
        <v>#REF!</v>
      </c>
      <c r="T9" s="1" t="e" cm="1">
        <f t="array" aca="1" ref="T9" ca="1">INDIRECT(_xlfn.CONCAT("'",TEXT($D9, "yyyy-mm-dd"),"'","!$I$6"))</f>
        <v>#REF!</v>
      </c>
    </row>
  </sheetData>
  <phoneticPr fontId="3" type="noConversion"/>
  <conditionalFormatting sqref="C3:T16">
    <cfRule type="expression" dxfId="15" priority="4">
      <formula>$I3="취소"</formula>
    </cfRule>
    <cfRule type="expression" dxfId="14" priority="5">
      <formula>$I3="보류"</formula>
    </cfRule>
    <cfRule type="expression" dxfId="13" priority="6">
      <formula>$I3="완료"</formula>
    </cfRule>
    <cfRule type="expression" dxfId="12" priority="7">
      <formula>$I3="재할당"</formula>
    </cfRule>
    <cfRule type="expression" dxfId="11" priority="8">
      <formula>$I3="작업중"</formula>
    </cfRule>
    <cfRule type="expression" dxfId="10" priority="9">
      <formula>$I3="개발완료"</formula>
    </cfRule>
  </conditionalFormatting>
  <conditionalFormatting sqref="B3:B23">
    <cfRule type="expression" dxfId="1" priority="2">
      <formula>$E3="높음"</formula>
    </cfRule>
  </conditionalFormatting>
  <conditionalFormatting sqref="B3:B23">
    <cfRule type="expression" dxfId="0" priority="1">
      <formula>$E3="중간"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15A49-2B2F-40B5-9991-52509F7387EC}">
  <dimension ref="B1:J64"/>
  <sheetViews>
    <sheetView workbookViewId="0">
      <selection activeCell="H10" sqref="H10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4" t="s">
        <v>12</v>
      </c>
      <c r="C2" s="69"/>
      <c r="D2" s="56"/>
      <c r="E2" s="7" t="s">
        <v>127</v>
      </c>
      <c r="F2" s="69"/>
      <c r="G2" s="69"/>
      <c r="H2" s="7" t="s">
        <v>122</v>
      </c>
      <c r="I2" s="57" t="s">
        <v>185</v>
      </c>
      <c r="J2" s="8"/>
    </row>
    <row r="3" spans="2:10" ht="18" thickBot="1" x14ac:dyDescent="0.45">
      <c r="B3" s="4" t="s">
        <v>94</v>
      </c>
      <c r="C3" s="52" t="s">
        <v>6</v>
      </c>
      <c r="D3" s="70"/>
      <c r="E3" s="7" t="s">
        <v>43</v>
      </c>
      <c r="F3" s="53" t="s">
        <v>179</v>
      </c>
      <c r="G3" s="70"/>
      <c r="H3" s="7" t="s">
        <v>7</v>
      </c>
      <c r="I3" s="75" t="s">
        <v>8</v>
      </c>
      <c r="J3" s="54"/>
    </row>
    <row r="4" spans="2:10" ht="18" thickBot="1" x14ac:dyDescent="0.45">
      <c r="B4" s="4" t="s">
        <v>167</v>
      </c>
      <c r="C4" s="69"/>
      <c r="D4" s="11"/>
      <c r="E4" s="7" t="s">
        <v>168</v>
      </c>
      <c r="F4" s="69"/>
      <c r="G4" s="11"/>
      <c r="H4" s="7" t="s">
        <v>47</v>
      </c>
      <c r="I4" s="11"/>
      <c r="J4" s="58"/>
    </row>
    <row r="5" spans="2:10" ht="18" thickBot="1" x14ac:dyDescent="0.45">
      <c r="B5" s="4" t="s">
        <v>177</v>
      </c>
      <c r="C5" s="72"/>
      <c r="D5" s="70"/>
      <c r="E5" s="7" t="s">
        <v>134</v>
      </c>
      <c r="F5" s="68"/>
      <c r="G5" s="70"/>
      <c r="H5" s="7" t="s">
        <v>132</v>
      </c>
      <c r="I5" s="70"/>
      <c r="J5" s="54"/>
    </row>
    <row r="6" spans="2:10" ht="18" thickBot="1" x14ac:dyDescent="0.45">
      <c r="B6" s="4" t="s">
        <v>178</v>
      </c>
      <c r="C6" s="67"/>
      <c r="D6" s="70"/>
      <c r="E6" s="7" t="s">
        <v>134</v>
      </c>
      <c r="F6" s="68"/>
      <c r="G6" s="70"/>
      <c r="H6" s="7" t="s">
        <v>132</v>
      </c>
      <c r="I6" s="70"/>
      <c r="J6" s="54"/>
    </row>
    <row r="7" spans="2:10" ht="18" thickBot="1" x14ac:dyDescent="0.45">
      <c r="B7" s="4" t="s">
        <v>10</v>
      </c>
      <c r="C7" s="57" t="s">
        <v>180</v>
      </c>
      <c r="D7" s="57"/>
      <c r="E7" s="57"/>
      <c r="F7" s="57"/>
      <c r="G7" s="57"/>
      <c r="H7" s="57"/>
      <c r="I7" s="57"/>
      <c r="J7" s="58"/>
    </row>
    <row r="8" spans="2:10" x14ac:dyDescent="0.4">
      <c r="B8" s="9" t="s">
        <v>11</v>
      </c>
      <c r="C8" s="21" t="s">
        <v>181</v>
      </c>
      <c r="D8" s="12"/>
      <c r="E8" s="12"/>
      <c r="F8" s="12"/>
      <c r="G8" s="12"/>
      <c r="H8" s="12"/>
      <c r="I8" s="12"/>
      <c r="J8" s="13"/>
    </row>
    <row r="9" spans="2:10" x14ac:dyDescent="0.4">
      <c r="B9" s="14"/>
      <c r="C9" s="77" t="s">
        <v>182</v>
      </c>
      <c r="D9" s="78"/>
      <c r="E9" s="78"/>
      <c r="F9" s="78"/>
      <c r="G9" s="78"/>
      <c r="H9" s="78"/>
      <c r="I9" s="78"/>
      <c r="J9" s="15"/>
    </row>
    <row r="10" spans="2:10" x14ac:dyDescent="0.4">
      <c r="B10" s="14"/>
      <c r="C10" s="77"/>
      <c r="D10" s="78"/>
      <c r="E10" s="78"/>
      <c r="F10" s="78"/>
      <c r="G10" s="78"/>
      <c r="H10" s="78"/>
      <c r="I10" s="78"/>
      <c r="J10" s="15"/>
    </row>
    <row r="11" spans="2:10" x14ac:dyDescent="0.4">
      <c r="B11" s="14"/>
      <c r="C11" s="77" t="s">
        <v>183</v>
      </c>
      <c r="D11" s="78"/>
      <c r="E11" s="78"/>
      <c r="F11" s="78"/>
      <c r="G11" s="78"/>
      <c r="H11" s="78"/>
      <c r="I11" s="78"/>
      <c r="J11" s="15"/>
    </row>
    <row r="12" spans="2:10" x14ac:dyDescent="0.4">
      <c r="B12" s="14"/>
      <c r="C12" s="77" t="s">
        <v>184</v>
      </c>
      <c r="D12" s="78"/>
      <c r="E12" s="78"/>
      <c r="F12" s="78"/>
      <c r="G12" s="78"/>
      <c r="H12" s="78"/>
      <c r="I12" s="78"/>
      <c r="J12" s="15"/>
    </row>
    <row r="13" spans="2:10" ht="18" thickBot="1" x14ac:dyDescent="0.45">
      <c r="B13" s="16"/>
      <c r="C13" s="17"/>
      <c r="D13" s="17"/>
      <c r="E13" s="17"/>
      <c r="F13" s="17"/>
      <c r="G13" s="17"/>
      <c r="H13" s="17"/>
      <c r="I13" s="17"/>
      <c r="J13" s="18"/>
    </row>
    <row r="14" spans="2:10" ht="18" thickBot="1" x14ac:dyDescent="0.45">
      <c r="B14" s="4" t="s">
        <v>13</v>
      </c>
      <c r="C14" s="66" t="s">
        <v>186</v>
      </c>
      <c r="D14" s="11"/>
      <c r="E14" s="11"/>
      <c r="F14" s="11"/>
      <c r="G14" s="11"/>
      <c r="H14" s="11"/>
      <c r="I14" s="11"/>
      <c r="J14" s="8"/>
    </row>
    <row r="15" spans="2:10" ht="18" thickBot="1" x14ac:dyDescent="0.45"/>
    <row r="16" spans="2:10" ht="18" thickBot="1" x14ac:dyDescent="0.45">
      <c r="B16" s="4" t="s">
        <v>0</v>
      </c>
      <c r="C16" s="69">
        <f>$F$2</f>
        <v>0</v>
      </c>
      <c r="D16" s="11"/>
      <c r="E16" s="7" t="s">
        <v>7</v>
      </c>
      <c r="F16" s="74" t="s">
        <v>8</v>
      </c>
      <c r="G16" s="8"/>
      <c r="H16" s="7" t="s">
        <v>111</v>
      </c>
      <c r="I16" s="11"/>
      <c r="J16" s="8"/>
    </row>
    <row r="17" spans="2:10" ht="18" thickBot="1" x14ac:dyDescent="0.45">
      <c r="B17" s="4" t="s">
        <v>44</v>
      </c>
      <c r="C17" s="53"/>
      <c r="D17" s="52"/>
      <c r="E17" s="7" t="s">
        <v>45</v>
      </c>
      <c r="F17" s="53"/>
      <c r="G17" s="52"/>
      <c r="H17" s="7" t="s">
        <v>46</v>
      </c>
      <c r="I17" s="71"/>
      <c r="J17" s="54"/>
    </row>
    <row r="18" spans="2:10" ht="18" thickBot="1" x14ac:dyDescent="0.45">
      <c r="B18" s="4" t="s">
        <v>10</v>
      </c>
      <c r="C18" s="57" t="s">
        <v>121</v>
      </c>
      <c r="D18" s="57"/>
      <c r="E18" s="57"/>
      <c r="F18" s="57"/>
      <c r="G18" s="57"/>
      <c r="H18" s="59"/>
      <c r="I18" s="57"/>
      <c r="J18" s="58"/>
    </row>
    <row r="19" spans="2:10" x14ac:dyDescent="0.4">
      <c r="B19" s="9" t="s">
        <v>11</v>
      </c>
      <c r="C19" s="21"/>
      <c r="D19" s="12"/>
      <c r="E19" s="12"/>
      <c r="F19" s="12"/>
      <c r="G19" s="12"/>
      <c r="H19" s="12"/>
      <c r="I19" s="12"/>
      <c r="J19" s="13"/>
    </row>
    <row r="20" spans="2:10" x14ac:dyDescent="0.4">
      <c r="B20" s="14"/>
      <c r="C20" s="25"/>
      <c r="D20" s="51"/>
      <c r="E20" s="51"/>
      <c r="F20" s="51"/>
      <c r="G20" s="51"/>
      <c r="H20" s="51"/>
      <c r="I20" s="51"/>
      <c r="J20" s="15"/>
    </row>
    <row r="21" spans="2:10" ht="18" thickBot="1" x14ac:dyDescent="0.45">
      <c r="B21" s="16"/>
      <c r="C21" s="17"/>
      <c r="D21" s="17"/>
      <c r="E21" s="51"/>
      <c r="F21" s="51"/>
      <c r="G21" s="51"/>
      <c r="H21" s="51"/>
      <c r="I21" s="51"/>
      <c r="J21" s="15"/>
    </row>
    <row r="22" spans="2:10" ht="18" thickBot="1" x14ac:dyDescent="0.45">
      <c r="B22" s="4" t="s">
        <v>13</v>
      </c>
      <c r="C22" s="11"/>
      <c r="D22" s="11"/>
      <c r="E22" s="11"/>
      <c r="F22" s="11"/>
      <c r="G22" s="11"/>
      <c r="H22" s="11"/>
      <c r="I22" s="11"/>
      <c r="J22" s="8"/>
    </row>
    <row r="23" spans="2:10" ht="18" thickBot="1" x14ac:dyDescent="0.45">
      <c r="B23" s="9" t="s">
        <v>58</v>
      </c>
      <c r="C23" s="64" t="s">
        <v>98</v>
      </c>
      <c r="D23" s="19" t="s">
        <v>113</v>
      </c>
      <c r="E23" s="20" t="s">
        <v>14</v>
      </c>
      <c r="F23" s="5"/>
      <c r="G23" s="6"/>
      <c r="H23" s="7" t="s">
        <v>46</v>
      </c>
      <c r="I23" s="11"/>
      <c r="J23" s="8"/>
    </row>
    <row r="24" spans="2:10" x14ac:dyDescent="0.4">
      <c r="B24" s="14"/>
      <c r="C24" s="21"/>
      <c r="D24" s="22"/>
      <c r="E24" s="22"/>
      <c r="F24" s="22"/>
      <c r="G24" s="22"/>
      <c r="H24" s="22"/>
      <c r="I24" s="22"/>
      <c r="J24" s="23"/>
    </row>
    <row r="25" spans="2:10" x14ac:dyDescent="0.4">
      <c r="B25" s="14"/>
      <c r="C25" s="24"/>
      <c r="D25" s="25"/>
      <c r="E25" s="25"/>
      <c r="F25" s="25"/>
      <c r="G25" s="25"/>
      <c r="H25" s="25"/>
      <c r="I25" s="25"/>
      <c r="J25" s="26"/>
    </row>
    <row r="26" spans="2:10" x14ac:dyDescent="0.4">
      <c r="B26" s="14"/>
      <c r="C26" s="24"/>
      <c r="D26" s="25"/>
      <c r="E26" s="25"/>
      <c r="F26" s="25"/>
      <c r="G26" s="25"/>
      <c r="H26" s="25"/>
      <c r="I26" s="25"/>
      <c r="J26" s="26"/>
    </row>
    <row r="27" spans="2:10" x14ac:dyDescent="0.4">
      <c r="B27" s="14"/>
      <c r="C27" s="24"/>
      <c r="D27" s="25"/>
      <c r="E27" s="25"/>
      <c r="F27" s="25"/>
      <c r="G27" s="25"/>
      <c r="H27" s="25"/>
      <c r="I27" s="25"/>
      <c r="J27" s="26"/>
    </row>
    <row r="28" spans="2:10" x14ac:dyDescent="0.4">
      <c r="B28" s="14"/>
      <c r="C28" s="24"/>
      <c r="D28" s="25"/>
      <c r="E28" s="25"/>
      <c r="F28" s="25"/>
      <c r="G28" s="25"/>
      <c r="H28" s="25"/>
      <c r="I28" s="25"/>
      <c r="J28" s="26"/>
    </row>
    <row r="29" spans="2:10" x14ac:dyDescent="0.4">
      <c r="B29" s="27"/>
      <c r="C29" s="24"/>
      <c r="D29" s="25"/>
      <c r="E29" s="25"/>
      <c r="F29" s="25"/>
      <c r="G29" s="25"/>
      <c r="H29" s="25"/>
      <c r="I29" s="25"/>
      <c r="J29" s="26"/>
    </row>
    <row r="30" spans="2:10" x14ac:dyDescent="0.4">
      <c r="B30" s="27"/>
      <c r="C30" s="24"/>
      <c r="D30" s="25"/>
      <c r="E30" s="25"/>
      <c r="F30" s="25"/>
      <c r="G30" s="25"/>
      <c r="H30" s="25"/>
      <c r="I30" s="25"/>
      <c r="J30" s="26"/>
    </row>
    <row r="31" spans="2:10" ht="18" thickBot="1" x14ac:dyDescent="0.45">
      <c r="B31" s="28"/>
      <c r="C31" s="29"/>
      <c r="D31" s="30"/>
      <c r="E31" s="30"/>
      <c r="F31" s="30"/>
      <c r="G31" s="30"/>
      <c r="H31" s="30"/>
      <c r="I31" s="30"/>
      <c r="J31" s="31"/>
    </row>
    <row r="32" spans="2:10" ht="18" thickBot="1" x14ac:dyDescent="0.45">
      <c r="B32" s="9" t="s">
        <v>58</v>
      </c>
      <c r="C32" s="64" t="s">
        <v>98</v>
      </c>
      <c r="D32" s="19" t="s">
        <v>38</v>
      </c>
      <c r="E32" s="20" t="s">
        <v>14</v>
      </c>
      <c r="F32" s="5"/>
      <c r="G32" s="6"/>
      <c r="H32" s="7" t="s">
        <v>46</v>
      </c>
      <c r="I32" s="11"/>
      <c r="J32" s="8"/>
    </row>
    <row r="33" spans="2:10" x14ac:dyDescent="0.4">
      <c r="B33" s="14"/>
      <c r="C33" s="21"/>
      <c r="D33" s="22"/>
      <c r="E33" s="22"/>
      <c r="F33" s="22"/>
      <c r="G33" s="22"/>
      <c r="H33" s="22"/>
      <c r="I33" s="22"/>
      <c r="J33" s="23"/>
    </row>
    <row r="34" spans="2:10" x14ac:dyDescent="0.4">
      <c r="B34" s="14"/>
      <c r="C34" s="24"/>
      <c r="D34" s="25"/>
      <c r="E34" s="25"/>
      <c r="F34" s="25"/>
      <c r="G34" s="25"/>
      <c r="H34" s="25"/>
      <c r="I34" s="25"/>
      <c r="J34" s="26"/>
    </row>
    <row r="35" spans="2:10" x14ac:dyDescent="0.4">
      <c r="B35" s="14"/>
      <c r="C35" s="24"/>
      <c r="D35" s="25"/>
      <c r="E35" s="25"/>
      <c r="F35" s="25"/>
      <c r="G35" s="25"/>
      <c r="H35" s="25"/>
      <c r="I35" s="25"/>
      <c r="J35" s="26"/>
    </row>
    <row r="36" spans="2:10" x14ac:dyDescent="0.4">
      <c r="B36" s="14"/>
      <c r="C36" s="24"/>
      <c r="D36" s="25"/>
      <c r="E36" s="25"/>
      <c r="F36" s="25"/>
      <c r="G36" s="25"/>
      <c r="H36" s="25"/>
      <c r="I36" s="25"/>
      <c r="J36" s="26"/>
    </row>
    <row r="37" spans="2:10" x14ac:dyDescent="0.4">
      <c r="B37" s="14"/>
      <c r="C37" s="24"/>
      <c r="D37" s="25"/>
      <c r="E37" s="25"/>
      <c r="F37" s="25"/>
      <c r="G37" s="25"/>
      <c r="H37" s="25"/>
      <c r="I37" s="25"/>
      <c r="J37" s="26"/>
    </row>
    <row r="38" spans="2:10" x14ac:dyDescent="0.4">
      <c r="B38" s="27"/>
      <c r="C38" s="24"/>
      <c r="D38" s="25"/>
      <c r="E38" s="25"/>
      <c r="F38" s="25"/>
      <c r="G38" s="25"/>
      <c r="H38" s="25"/>
      <c r="I38" s="25"/>
      <c r="J38" s="26"/>
    </row>
    <row r="39" spans="2:10" x14ac:dyDescent="0.4">
      <c r="B39" s="27"/>
      <c r="C39" s="24"/>
      <c r="D39" s="25"/>
      <c r="E39" s="25"/>
      <c r="F39" s="25"/>
      <c r="G39" s="25"/>
      <c r="H39" s="25"/>
      <c r="I39" s="25"/>
      <c r="J39" s="26"/>
    </row>
    <row r="40" spans="2:10" ht="18" thickBot="1" x14ac:dyDescent="0.45">
      <c r="B40" s="28"/>
      <c r="C40" s="29"/>
      <c r="D40" s="30"/>
      <c r="E40" s="30"/>
      <c r="F40" s="30"/>
      <c r="G40" s="30"/>
      <c r="H40" s="30"/>
      <c r="I40" s="30"/>
      <c r="J40" s="31"/>
    </row>
    <row r="41" spans="2:10" ht="18" thickBot="1" x14ac:dyDescent="0.45">
      <c r="B41" s="4" t="s">
        <v>177</v>
      </c>
      <c r="C41" s="10"/>
      <c r="D41" s="57"/>
      <c r="E41" s="7" t="s">
        <v>134</v>
      </c>
      <c r="F41" s="55"/>
      <c r="G41" s="57"/>
      <c r="H41" s="7" t="s">
        <v>132</v>
      </c>
      <c r="I41" s="57"/>
      <c r="J41" s="8"/>
    </row>
    <row r="42" spans="2:10" ht="18" thickBot="1" x14ac:dyDescent="0.45">
      <c r="B42" s="4" t="s">
        <v>178</v>
      </c>
      <c r="C42" s="73"/>
      <c r="D42" s="57"/>
      <c r="E42" s="7" t="s">
        <v>134</v>
      </c>
      <c r="F42" s="55"/>
      <c r="G42" s="57"/>
      <c r="H42" s="7" t="s">
        <v>132</v>
      </c>
      <c r="I42" s="57"/>
      <c r="J42" s="8"/>
    </row>
    <row r="43" spans="2:10" x14ac:dyDescent="0.4">
      <c r="B43" s="32" t="s">
        <v>15</v>
      </c>
      <c r="C43" s="33"/>
      <c r="D43" s="34"/>
      <c r="E43" s="35"/>
      <c r="F43" s="36"/>
      <c r="G43" s="36"/>
      <c r="H43" s="36"/>
      <c r="I43" s="36"/>
      <c r="J43" s="37"/>
    </row>
    <row r="44" spans="2:10" x14ac:dyDescent="0.4">
      <c r="B44" s="27"/>
      <c r="C44" s="38"/>
      <c r="D44" s="60"/>
      <c r="E44" s="61"/>
      <c r="F44" s="25"/>
      <c r="G44" s="25"/>
      <c r="H44" s="25"/>
      <c r="I44" s="25"/>
      <c r="J44" s="26"/>
    </row>
    <row r="45" spans="2:10" x14ac:dyDescent="0.4">
      <c r="B45" s="27"/>
      <c r="C45" s="38"/>
      <c r="D45" s="39"/>
      <c r="E45" s="40"/>
      <c r="F45" s="41"/>
      <c r="G45" s="41"/>
      <c r="H45" s="41"/>
      <c r="I45" s="41"/>
      <c r="J45" s="42"/>
    </row>
    <row r="46" spans="2:10" x14ac:dyDescent="0.4">
      <c r="B46" s="27"/>
      <c r="C46" s="38"/>
      <c r="D46" s="60"/>
      <c r="E46" s="61"/>
      <c r="F46" s="25"/>
      <c r="G46" s="25"/>
      <c r="H46" s="25"/>
      <c r="I46" s="25"/>
      <c r="J46" s="26"/>
    </row>
    <row r="47" spans="2:10" ht="18" thickBot="1" x14ac:dyDescent="0.45">
      <c r="B47" s="28"/>
      <c r="C47" s="43"/>
      <c r="D47" s="62"/>
      <c r="E47" s="63"/>
      <c r="F47" s="30"/>
      <c r="G47" s="30"/>
      <c r="H47" s="30"/>
      <c r="I47" s="30"/>
      <c r="J47" s="31"/>
    </row>
    <row r="50" spans="2:10" ht="18" hidden="1" thickBot="1" x14ac:dyDescent="0.45">
      <c r="B50" s="9" t="s">
        <v>58</v>
      </c>
      <c r="C50" s="64" t="s">
        <v>98</v>
      </c>
      <c r="D50" s="19" t="s">
        <v>115</v>
      </c>
      <c r="E50" s="20" t="s">
        <v>14</v>
      </c>
      <c r="F50" s="5">
        <v>45630</v>
      </c>
      <c r="G50" s="6"/>
      <c r="H50" s="7" t="s">
        <v>123</v>
      </c>
      <c r="I50" s="11"/>
      <c r="J50" s="8"/>
    </row>
    <row r="51" spans="2:10" hidden="1" x14ac:dyDescent="0.4">
      <c r="B51" s="14"/>
      <c r="C51" s="21"/>
      <c r="D51" s="22"/>
      <c r="E51" s="22"/>
      <c r="F51" s="22"/>
      <c r="G51" s="22"/>
      <c r="H51" s="22"/>
      <c r="I51" s="22"/>
      <c r="J51" s="23"/>
    </row>
    <row r="52" spans="2:10" hidden="1" x14ac:dyDescent="0.4">
      <c r="B52" s="14"/>
      <c r="C52" s="24"/>
      <c r="D52" s="25"/>
      <c r="E52" s="25"/>
      <c r="F52" s="25"/>
      <c r="G52" s="25"/>
      <c r="H52" s="25"/>
      <c r="I52" s="25"/>
      <c r="J52" s="26"/>
    </row>
    <row r="53" spans="2:10" hidden="1" x14ac:dyDescent="0.4">
      <c r="B53" s="14"/>
      <c r="C53" s="24"/>
      <c r="D53" s="25"/>
      <c r="E53" s="25"/>
      <c r="F53" s="25"/>
      <c r="G53" s="25"/>
      <c r="H53" s="25"/>
      <c r="I53" s="25"/>
      <c r="J53" s="26"/>
    </row>
    <row r="54" spans="2:10" ht="18" hidden="1" thickBot="1" x14ac:dyDescent="0.45">
      <c r="B54" s="28"/>
      <c r="C54" s="29"/>
      <c r="D54" s="30"/>
      <c r="E54" s="30"/>
      <c r="F54" s="30"/>
      <c r="G54" s="30"/>
      <c r="H54" s="30"/>
      <c r="I54" s="30"/>
      <c r="J54" s="31"/>
    </row>
    <row r="55" spans="2:10" ht="18" hidden="1" thickBot="1" x14ac:dyDescent="0.45">
      <c r="B55" s="4" t="s">
        <v>13</v>
      </c>
      <c r="C55" s="66"/>
      <c r="D55" s="11"/>
      <c r="E55" s="11"/>
      <c r="F55" s="11"/>
      <c r="G55" s="11"/>
      <c r="H55" s="11"/>
      <c r="I55" s="11"/>
      <c r="J55" s="8"/>
    </row>
    <row r="56" spans="2:10" ht="18" hidden="1" thickBot="1" x14ac:dyDescent="0.45">
      <c r="B56" s="9" t="s">
        <v>58</v>
      </c>
      <c r="C56" s="64" t="s">
        <v>98</v>
      </c>
      <c r="D56" s="19" t="s">
        <v>115</v>
      </c>
      <c r="E56" s="20" t="s">
        <v>14</v>
      </c>
      <c r="F56" s="5">
        <v>45630</v>
      </c>
      <c r="G56" s="6"/>
      <c r="H56" s="7" t="s">
        <v>116</v>
      </c>
      <c r="I56" s="11"/>
      <c r="J56" s="8"/>
    </row>
    <row r="57" spans="2:10" hidden="1" x14ac:dyDescent="0.4">
      <c r="B57" s="14"/>
      <c r="C57" s="21"/>
      <c r="D57" s="22"/>
      <c r="E57" s="22"/>
      <c r="F57" s="22"/>
      <c r="G57" s="22"/>
      <c r="H57" s="22"/>
      <c r="I57" s="22"/>
      <c r="J57" s="23"/>
    </row>
    <row r="58" spans="2:10" hidden="1" x14ac:dyDescent="0.4">
      <c r="B58" s="14"/>
      <c r="C58" s="24"/>
      <c r="D58" s="25"/>
      <c r="E58" s="25"/>
      <c r="F58" s="25"/>
      <c r="G58" s="25"/>
      <c r="H58" s="25"/>
      <c r="I58" s="25"/>
      <c r="J58" s="26"/>
    </row>
    <row r="59" spans="2:10" hidden="1" x14ac:dyDescent="0.4">
      <c r="B59" s="14"/>
      <c r="C59" s="24"/>
      <c r="D59" s="25"/>
      <c r="E59" s="25"/>
      <c r="F59" s="25"/>
      <c r="G59" s="25"/>
      <c r="H59" s="25"/>
      <c r="I59" s="25"/>
      <c r="J59" s="26"/>
    </row>
    <row r="60" spans="2:10" hidden="1" x14ac:dyDescent="0.4">
      <c r="B60" s="14"/>
      <c r="C60" s="24"/>
      <c r="D60" s="25"/>
      <c r="E60" s="25"/>
      <c r="F60" s="25"/>
      <c r="G60" s="25"/>
      <c r="H60" s="25"/>
      <c r="I60" s="25"/>
      <c r="J60" s="26"/>
    </row>
    <row r="61" spans="2:10" hidden="1" x14ac:dyDescent="0.4">
      <c r="B61" s="14"/>
      <c r="C61" s="24"/>
      <c r="D61" s="25"/>
      <c r="E61" s="25"/>
      <c r="F61" s="25"/>
      <c r="G61" s="25"/>
      <c r="H61" s="25"/>
      <c r="I61" s="25"/>
      <c r="J61" s="26"/>
    </row>
    <row r="62" spans="2:10" hidden="1" x14ac:dyDescent="0.4">
      <c r="B62" s="14"/>
      <c r="C62" s="24"/>
      <c r="D62" s="25"/>
      <c r="E62" s="25"/>
      <c r="F62" s="25"/>
      <c r="G62" s="25"/>
      <c r="H62" s="25"/>
      <c r="I62" s="25"/>
      <c r="J62" s="26"/>
    </row>
    <row r="63" spans="2:10" hidden="1" x14ac:dyDescent="0.4">
      <c r="B63" s="14"/>
      <c r="C63" s="24"/>
      <c r="D63" s="25"/>
      <c r="E63" s="25"/>
      <c r="F63" s="25"/>
      <c r="G63" s="25"/>
      <c r="H63" s="25"/>
      <c r="I63" s="25"/>
      <c r="J63" s="26"/>
    </row>
    <row r="64" spans="2:10" ht="18" hidden="1" thickBot="1" x14ac:dyDescent="0.45">
      <c r="B64" s="28"/>
      <c r="C64" s="29"/>
      <c r="D64" s="30"/>
      <c r="E64" s="30"/>
      <c r="F64" s="30"/>
      <c r="G64" s="30"/>
      <c r="H64" s="30"/>
      <c r="I64" s="30"/>
      <c r="J64" s="31"/>
    </row>
  </sheetData>
  <phoneticPr fontId="3" type="noConversion"/>
  <hyperlinks>
    <hyperlink ref="C14" r:id="rId1" xr:uid="{9C3B5EB5-EDE0-4F4C-AC31-1FDF35B5D95B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56B4E55-FA9A-4637-957D-AD3630584FEA}">
          <x14:formula1>
            <xm:f>콤보박스!$B$78:$B$96</xm:f>
          </x14:formula1>
          <xm:sqref>F6 F42</xm:sqref>
        </x14:dataValidation>
        <x14:dataValidation type="list" allowBlank="1" showInputMessage="1" showErrorMessage="1" xr:uid="{FC84414F-0871-42FA-A651-9AD4D9626C1F}">
          <x14:formula1>
            <xm:f>콤보박스!$B$69:$B$76</xm:f>
          </x14:formula1>
          <xm:sqref>C6 C42</xm:sqref>
        </x14:dataValidation>
        <x14:dataValidation type="list" allowBlank="1" showInputMessage="1" showErrorMessage="1" xr:uid="{0B7E622B-440B-4B7D-BD62-A0550AA9BD22}">
          <x14:formula1>
            <xm:f>콤보박스!$B$23:$B$58</xm:f>
          </x14:formula1>
          <xm:sqref>F5 F41</xm:sqref>
        </x14:dataValidation>
        <x14:dataValidation type="list" allowBlank="1" showInputMessage="1" showErrorMessage="1" xr:uid="{4C39526D-EB09-44BF-BD19-9FE2208C7D18}">
          <x14:formula1>
            <xm:f>콤보박스!$B$11:$B$20</xm:f>
          </x14:formula1>
          <xm:sqref>C5 C41</xm:sqref>
        </x14:dataValidation>
        <x14:dataValidation type="list" allowBlank="1" showInputMessage="1" showErrorMessage="1" xr:uid="{A2D2B7CE-7682-4A10-8626-060FCBE06DA4}">
          <x14:formula1>
            <xm:f>콤보박스!$D$11:$D$13</xm:f>
          </x14:formula1>
          <xm:sqref>C3</xm:sqref>
        </x14:dataValidation>
        <x14:dataValidation type="list" allowBlank="1" showInputMessage="1" showErrorMessage="1" xr:uid="{F8A9861D-C2E7-4624-8A69-787BF78F294E}">
          <x14:formula1>
            <xm:f>콤보박스!$B$3:$B$9</xm:f>
          </x14:formula1>
          <xm:sqref>I3 F16</xm:sqref>
        </x14:dataValidation>
        <x14:dataValidation type="list" allowBlank="1" showInputMessage="1" showErrorMessage="1" xr:uid="{057E622C-2F64-4C8E-ACEE-D13E20A1E338}">
          <x14:formula1>
            <xm:f>콤보박스!$D$15:$D$19</xm:f>
          </x14:formula1>
          <xm:sqref>C43:C47</xm:sqref>
        </x14:dataValidation>
        <x14:dataValidation type="list" allowBlank="1" showInputMessage="1" showErrorMessage="1" xr:uid="{6CCB328A-45F5-4614-B088-22BF82A53417}">
          <x14:formula1>
            <xm:f>콤보박스!$D$2:$D$9</xm:f>
          </x14:formula1>
          <xm:sqref>D32 D23 D50 D56</xm:sqref>
        </x14:dataValidation>
        <x14:dataValidation type="list" allowBlank="1" showInputMessage="1" showErrorMessage="1" xr:uid="{B8DD390A-4084-44A8-9686-171319F6DC0A}">
          <x14:formula1>
            <xm:f>콤보박스!$D$23:$D$27</xm:f>
          </x14:formula1>
          <xm:sqref>D43:D46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228E-98B1-4A29-9B95-28F8EBC2B1AB}">
  <sheetPr codeName="Sheet16"/>
  <dimension ref="B2:G96"/>
  <sheetViews>
    <sheetView workbookViewId="0">
      <selection activeCell="D11" sqref="D11:D12"/>
    </sheetView>
  </sheetViews>
  <sheetFormatPr defaultRowHeight="17.399999999999999" x14ac:dyDescent="0.4"/>
  <sheetData>
    <row r="2" spans="2:7" x14ac:dyDescent="0.4">
      <c r="B2" t="s">
        <v>16</v>
      </c>
      <c r="D2" t="s">
        <v>36</v>
      </c>
      <c r="F2" t="s">
        <v>9</v>
      </c>
      <c r="G2" s="44" t="s">
        <v>17</v>
      </c>
    </row>
    <row r="3" spans="2:7" x14ac:dyDescent="0.4">
      <c r="B3" t="s">
        <v>18</v>
      </c>
      <c r="D3" t="s">
        <v>37</v>
      </c>
    </row>
    <row r="4" spans="2:7" x14ac:dyDescent="0.4">
      <c r="B4" t="s">
        <v>19</v>
      </c>
      <c r="C4" s="45"/>
      <c r="D4" t="s">
        <v>38</v>
      </c>
    </row>
    <row r="5" spans="2:7" x14ac:dyDescent="0.4">
      <c r="B5" t="s">
        <v>22</v>
      </c>
      <c r="C5" s="48"/>
      <c r="D5" t="s">
        <v>39</v>
      </c>
      <c r="F5" t="s">
        <v>20</v>
      </c>
      <c r="G5" s="44" t="s">
        <v>21</v>
      </c>
    </row>
    <row r="6" spans="2:7" x14ac:dyDescent="0.4">
      <c r="B6" t="s">
        <v>48</v>
      </c>
      <c r="C6" s="46"/>
      <c r="D6" t="s">
        <v>112</v>
      </c>
    </row>
    <row r="7" spans="2:7" x14ac:dyDescent="0.4">
      <c r="B7" t="s">
        <v>169</v>
      </c>
      <c r="C7" s="47"/>
      <c r="D7" t="s">
        <v>114</v>
      </c>
      <c r="G7" s="44" t="s">
        <v>23</v>
      </c>
    </row>
    <row r="8" spans="2:7" x14ac:dyDescent="0.4">
      <c r="B8" t="s">
        <v>24</v>
      </c>
      <c r="C8" s="49"/>
      <c r="D8" t="s">
        <v>93</v>
      </c>
    </row>
    <row r="9" spans="2:7" x14ac:dyDescent="0.4">
      <c r="B9" t="s">
        <v>25</v>
      </c>
      <c r="C9" s="50"/>
      <c r="F9" t="s">
        <v>26</v>
      </c>
      <c r="G9" s="44" t="s">
        <v>27</v>
      </c>
    </row>
    <row r="11" spans="2:7" x14ac:dyDescent="0.4">
      <c r="D11" t="s">
        <v>40</v>
      </c>
      <c r="F11" t="s">
        <v>28</v>
      </c>
      <c r="G11" s="44" t="s">
        <v>29</v>
      </c>
    </row>
    <row r="12" spans="2:7" x14ac:dyDescent="0.4">
      <c r="B12" t="s">
        <v>49</v>
      </c>
      <c r="D12" t="s">
        <v>41</v>
      </c>
    </row>
    <row r="13" spans="2:7" x14ac:dyDescent="0.4">
      <c r="B13" t="s">
        <v>50</v>
      </c>
      <c r="D13" t="s">
        <v>42</v>
      </c>
      <c r="F13" t="s">
        <v>30</v>
      </c>
      <c r="G13" s="44" t="s">
        <v>31</v>
      </c>
    </row>
    <row r="14" spans="2:7" x14ac:dyDescent="0.4">
      <c r="B14" t="s">
        <v>51</v>
      </c>
    </row>
    <row r="15" spans="2:7" x14ac:dyDescent="0.4">
      <c r="B15" t="s">
        <v>52</v>
      </c>
    </row>
    <row r="16" spans="2:7" x14ac:dyDescent="0.4">
      <c r="B16" t="s">
        <v>53</v>
      </c>
      <c r="D16" t="s">
        <v>95</v>
      </c>
      <c r="F16" t="s">
        <v>32</v>
      </c>
      <c r="G16" t="s">
        <v>33</v>
      </c>
    </row>
    <row r="17" spans="2:7" x14ac:dyDescent="0.4">
      <c r="B17" t="s">
        <v>54</v>
      </c>
      <c r="D17" t="s">
        <v>96</v>
      </c>
      <c r="G17" t="s">
        <v>34</v>
      </c>
    </row>
    <row r="18" spans="2:7" x14ac:dyDescent="0.4">
      <c r="B18" t="s">
        <v>55</v>
      </c>
      <c r="D18" t="s">
        <v>97</v>
      </c>
    </row>
    <row r="19" spans="2:7" x14ac:dyDescent="0.4">
      <c r="B19" t="s">
        <v>56</v>
      </c>
      <c r="D19" t="s">
        <v>93</v>
      </c>
      <c r="F19" t="s">
        <v>20</v>
      </c>
      <c r="G19" s="44" t="s">
        <v>35</v>
      </c>
    </row>
    <row r="20" spans="2:7" x14ac:dyDescent="0.4">
      <c r="B20" t="s">
        <v>57</v>
      </c>
    </row>
    <row r="21" spans="2:7" x14ac:dyDescent="0.4">
      <c r="F21" s="65"/>
    </row>
    <row r="22" spans="2:7" x14ac:dyDescent="0.4">
      <c r="F22" s="65" t="s">
        <v>110</v>
      </c>
    </row>
    <row r="23" spans="2:7" x14ac:dyDescent="0.4">
      <c r="F23" s="65" t="s">
        <v>100</v>
      </c>
    </row>
    <row r="24" spans="2:7" x14ac:dyDescent="0.4">
      <c r="B24" t="s">
        <v>59</v>
      </c>
      <c r="D24" t="s">
        <v>117</v>
      </c>
      <c r="F24" s="65" t="s">
        <v>101</v>
      </c>
    </row>
    <row r="25" spans="2:7" x14ac:dyDescent="0.4">
      <c r="B25" t="s">
        <v>60</v>
      </c>
      <c r="D25" t="s">
        <v>118</v>
      </c>
      <c r="F25" s="65" t="s">
        <v>102</v>
      </c>
    </row>
    <row r="26" spans="2:7" x14ac:dyDescent="0.4">
      <c r="B26" t="s">
        <v>61</v>
      </c>
      <c r="D26" t="s">
        <v>119</v>
      </c>
      <c r="F26" s="65" t="s">
        <v>103</v>
      </c>
    </row>
    <row r="27" spans="2:7" x14ac:dyDescent="0.4">
      <c r="B27" t="s">
        <v>62</v>
      </c>
      <c r="D27" t="s">
        <v>120</v>
      </c>
      <c r="F27" s="65" t="s">
        <v>104</v>
      </c>
    </row>
    <row r="28" spans="2:7" x14ac:dyDescent="0.4">
      <c r="B28" t="s">
        <v>63</v>
      </c>
      <c r="F28" s="65" t="s">
        <v>105</v>
      </c>
    </row>
    <row r="29" spans="2:7" x14ac:dyDescent="0.4">
      <c r="B29" t="s">
        <v>64</v>
      </c>
      <c r="F29" s="65" t="s">
        <v>106</v>
      </c>
    </row>
    <row r="30" spans="2:7" x14ac:dyDescent="0.4">
      <c r="B30" t="s">
        <v>65</v>
      </c>
      <c r="F30" s="65" t="s">
        <v>107</v>
      </c>
    </row>
    <row r="31" spans="2:7" x14ac:dyDescent="0.4">
      <c r="B31" t="s">
        <v>66</v>
      </c>
      <c r="F31" s="65" t="s">
        <v>99</v>
      </c>
    </row>
    <row r="32" spans="2:7" x14ac:dyDescent="0.4">
      <c r="B32" t="s">
        <v>67</v>
      </c>
      <c r="F32" s="65" t="s">
        <v>108</v>
      </c>
    </row>
    <row r="33" spans="2:7" x14ac:dyDescent="0.4">
      <c r="B33" t="s">
        <v>68</v>
      </c>
      <c r="F33" s="65" t="s">
        <v>109</v>
      </c>
    </row>
    <row r="34" spans="2:7" x14ac:dyDescent="0.4">
      <c r="B34" t="s">
        <v>69</v>
      </c>
      <c r="F34" s="65"/>
    </row>
    <row r="35" spans="2:7" x14ac:dyDescent="0.4">
      <c r="B35" t="s">
        <v>70</v>
      </c>
      <c r="F35" s="65" t="s">
        <v>138</v>
      </c>
    </row>
    <row r="36" spans="2:7" x14ac:dyDescent="0.4">
      <c r="B36" t="s">
        <v>71</v>
      </c>
      <c r="F36" s="65" t="s">
        <v>126</v>
      </c>
      <c r="G36" s="65" t="s">
        <v>100</v>
      </c>
    </row>
    <row r="37" spans="2:7" x14ac:dyDescent="0.4">
      <c r="B37" t="s">
        <v>72</v>
      </c>
      <c r="F37" s="65" t="s">
        <v>136</v>
      </c>
    </row>
    <row r="38" spans="2:7" x14ac:dyDescent="0.4">
      <c r="B38" t="s">
        <v>73</v>
      </c>
      <c r="F38" s="65" t="s">
        <v>1</v>
      </c>
      <c r="G38" t="s">
        <v>139</v>
      </c>
    </row>
    <row r="39" spans="2:7" x14ac:dyDescent="0.4">
      <c r="B39" t="s">
        <v>74</v>
      </c>
      <c r="F39" s="65" t="s">
        <v>135</v>
      </c>
      <c r="G39" t="s">
        <v>140</v>
      </c>
    </row>
    <row r="40" spans="2:7" x14ac:dyDescent="0.4">
      <c r="B40" t="s">
        <v>75</v>
      </c>
      <c r="F40" s="65" t="s">
        <v>127</v>
      </c>
      <c r="G40" t="s">
        <v>141</v>
      </c>
    </row>
    <row r="41" spans="2:7" x14ac:dyDescent="0.4">
      <c r="B41" t="s">
        <v>76</v>
      </c>
      <c r="F41" s="65" t="s">
        <v>125</v>
      </c>
      <c r="G41" t="s">
        <v>142</v>
      </c>
    </row>
    <row r="42" spans="2:7" x14ac:dyDescent="0.4">
      <c r="B42" t="s">
        <v>77</v>
      </c>
      <c r="F42" s="65" t="s">
        <v>5</v>
      </c>
      <c r="G42" t="s">
        <v>143</v>
      </c>
    </row>
    <row r="43" spans="2:7" x14ac:dyDescent="0.4">
      <c r="B43" t="s">
        <v>78</v>
      </c>
      <c r="F43" s="65" t="s">
        <v>2</v>
      </c>
      <c r="G43" t="s">
        <v>144</v>
      </c>
    </row>
    <row r="44" spans="2:7" x14ac:dyDescent="0.4">
      <c r="B44" t="s">
        <v>79</v>
      </c>
      <c r="F44" t="s">
        <v>137</v>
      </c>
      <c r="G44" t="s">
        <v>145</v>
      </c>
    </row>
    <row r="45" spans="2:7" x14ac:dyDescent="0.4">
      <c r="B45" t="s">
        <v>80</v>
      </c>
      <c r="F45" t="s">
        <v>3</v>
      </c>
      <c r="G45" t="s">
        <v>146</v>
      </c>
    </row>
    <row r="46" spans="2:7" x14ac:dyDescent="0.4">
      <c r="B46" t="s">
        <v>81</v>
      </c>
      <c r="F46" t="s">
        <v>4</v>
      </c>
      <c r="G46" t="s">
        <v>147</v>
      </c>
    </row>
    <row r="47" spans="2:7" x14ac:dyDescent="0.4">
      <c r="B47" t="s">
        <v>82</v>
      </c>
      <c r="F47" t="s">
        <v>46</v>
      </c>
      <c r="G47" t="s">
        <v>148</v>
      </c>
    </row>
    <row r="48" spans="2:7" x14ac:dyDescent="0.4">
      <c r="B48" t="s">
        <v>83</v>
      </c>
      <c r="F48" t="s">
        <v>129</v>
      </c>
      <c r="G48" t="s">
        <v>149</v>
      </c>
    </row>
    <row r="49" spans="2:7" x14ac:dyDescent="0.4">
      <c r="B49" t="s">
        <v>84</v>
      </c>
      <c r="F49" t="s">
        <v>133</v>
      </c>
      <c r="G49" t="s">
        <v>150</v>
      </c>
    </row>
    <row r="50" spans="2:7" x14ac:dyDescent="0.4">
      <c r="B50" t="s">
        <v>85</v>
      </c>
      <c r="F50" t="s">
        <v>131</v>
      </c>
      <c r="G50" t="s">
        <v>151</v>
      </c>
    </row>
    <row r="51" spans="2:7" x14ac:dyDescent="0.4">
      <c r="B51" t="s">
        <v>86</v>
      </c>
    </row>
    <row r="52" spans="2:7" x14ac:dyDescent="0.4">
      <c r="B52" t="s">
        <v>92</v>
      </c>
    </row>
    <row r="53" spans="2:7" x14ac:dyDescent="0.4">
      <c r="B53" t="s">
        <v>55</v>
      </c>
      <c r="F53" t="s">
        <v>152</v>
      </c>
    </row>
    <row r="54" spans="2:7" x14ac:dyDescent="0.4">
      <c r="B54" t="s">
        <v>87</v>
      </c>
      <c r="F54" t="s">
        <v>126</v>
      </c>
      <c r="G54" s="65" t="s">
        <v>100</v>
      </c>
    </row>
    <row r="55" spans="2:7" x14ac:dyDescent="0.4">
      <c r="B55" t="s">
        <v>88</v>
      </c>
      <c r="F55" t="s">
        <v>136</v>
      </c>
    </row>
    <row r="56" spans="2:7" x14ac:dyDescent="0.4">
      <c r="B56" t="s">
        <v>89</v>
      </c>
      <c r="F56" t="s">
        <v>1</v>
      </c>
      <c r="G56" t="s">
        <v>153</v>
      </c>
    </row>
    <row r="57" spans="2:7" x14ac:dyDescent="0.4">
      <c r="B57" t="s">
        <v>90</v>
      </c>
      <c r="F57" t="s">
        <v>135</v>
      </c>
      <c r="G57" t="s">
        <v>154</v>
      </c>
    </row>
    <row r="58" spans="2:7" x14ac:dyDescent="0.4">
      <c r="B58" t="s">
        <v>91</v>
      </c>
      <c r="F58" t="s">
        <v>127</v>
      </c>
      <c r="G58" t="s">
        <v>155</v>
      </c>
    </row>
    <row r="59" spans="2:7" x14ac:dyDescent="0.4">
      <c r="F59" t="s">
        <v>125</v>
      </c>
      <c r="G59" t="s">
        <v>156</v>
      </c>
    </row>
    <row r="60" spans="2:7" x14ac:dyDescent="0.4">
      <c r="F60" t="s">
        <v>5</v>
      </c>
      <c r="G60" t="s">
        <v>157</v>
      </c>
    </row>
    <row r="61" spans="2:7" x14ac:dyDescent="0.4">
      <c r="F61" t="s">
        <v>2</v>
      </c>
      <c r="G61" t="s">
        <v>158</v>
      </c>
    </row>
    <row r="62" spans="2:7" x14ac:dyDescent="0.4">
      <c r="F62" t="s">
        <v>137</v>
      </c>
      <c r="G62" t="s">
        <v>159</v>
      </c>
    </row>
    <row r="63" spans="2:7" x14ac:dyDescent="0.4">
      <c r="F63" t="s">
        <v>3</v>
      </c>
      <c r="G63" t="s">
        <v>160</v>
      </c>
    </row>
    <row r="64" spans="2:7" x14ac:dyDescent="0.4">
      <c r="F64" t="s">
        <v>4</v>
      </c>
      <c r="G64" t="s">
        <v>161</v>
      </c>
    </row>
    <row r="65" spans="2:7" x14ac:dyDescent="0.4">
      <c r="F65" t="s">
        <v>46</v>
      </c>
      <c r="G65" t="s">
        <v>162</v>
      </c>
    </row>
    <row r="66" spans="2:7" x14ac:dyDescent="0.4">
      <c r="F66" t="s">
        <v>129</v>
      </c>
      <c r="G66" t="s">
        <v>163</v>
      </c>
    </row>
    <row r="67" spans="2:7" x14ac:dyDescent="0.4">
      <c r="F67" t="s">
        <v>133</v>
      </c>
      <c r="G67" t="s">
        <v>164</v>
      </c>
    </row>
    <row r="68" spans="2:7" x14ac:dyDescent="0.4">
      <c r="F68" t="s">
        <v>131</v>
      </c>
      <c r="G68" t="s">
        <v>165</v>
      </c>
    </row>
    <row r="70" spans="2:7" x14ac:dyDescent="0.4">
      <c r="B70" t="s">
        <v>67</v>
      </c>
    </row>
    <row r="71" spans="2:7" x14ac:dyDescent="0.4">
      <c r="B71" t="s">
        <v>68</v>
      </c>
    </row>
    <row r="72" spans="2:7" x14ac:dyDescent="0.4">
      <c r="B72" t="s">
        <v>53</v>
      </c>
    </row>
    <row r="73" spans="2:7" x14ac:dyDescent="0.4">
      <c r="B73" t="s">
        <v>170</v>
      </c>
    </row>
    <row r="74" spans="2:7" x14ac:dyDescent="0.4">
      <c r="B74" t="s">
        <v>56</v>
      </c>
    </row>
    <row r="75" spans="2:7" x14ac:dyDescent="0.4">
      <c r="B75" t="s">
        <v>54</v>
      </c>
    </row>
    <row r="76" spans="2:7" x14ac:dyDescent="0.4">
      <c r="B76" t="s">
        <v>57</v>
      </c>
    </row>
    <row r="79" spans="2:7" x14ac:dyDescent="0.4">
      <c r="B79" t="s">
        <v>66</v>
      </c>
    </row>
    <row r="80" spans="2:7" x14ac:dyDescent="0.4">
      <c r="B80" t="s">
        <v>67</v>
      </c>
    </row>
    <row r="81" spans="2:2" x14ac:dyDescent="0.4">
      <c r="B81" t="s">
        <v>171</v>
      </c>
    </row>
    <row r="82" spans="2:2" x14ac:dyDescent="0.4">
      <c r="B82" t="s">
        <v>172</v>
      </c>
    </row>
    <row r="83" spans="2:2" x14ac:dyDescent="0.4">
      <c r="B83" t="s">
        <v>68</v>
      </c>
    </row>
    <row r="84" spans="2:2" x14ac:dyDescent="0.4">
      <c r="B84" t="s">
        <v>173</v>
      </c>
    </row>
    <row r="85" spans="2:2" x14ac:dyDescent="0.4">
      <c r="B85" t="s">
        <v>174</v>
      </c>
    </row>
    <row r="86" spans="2:2" x14ac:dyDescent="0.4">
      <c r="B86" t="s">
        <v>77</v>
      </c>
    </row>
    <row r="87" spans="2:2" x14ac:dyDescent="0.4">
      <c r="B87" t="s">
        <v>170</v>
      </c>
    </row>
    <row r="88" spans="2:2" x14ac:dyDescent="0.4">
      <c r="B88" t="s">
        <v>175</v>
      </c>
    </row>
    <row r="89" spans="2:2" x14ac:dyDescent="0.4">
      <c r="B89" t="s">
        <v>79</v>
      </c>
    </row>
    <row r="90" spans="2:2" x14ac:dyDescent="0.4">
      <c r="B90" t="s">
        <v>80</v>
      </c>
    </row>
    <row r="91" spans="2:2" x14ac:dyDescent="0.4">
      <c r="B91" t="s">
        <v>81</v>
      </c>
    </row>
    <row r="92" spans="2:2" x14ac:dyDescent="0.4">
      <c r="B92" t="s">
        <v>82</v>
      </c>
    </row>
    <row r="93" spans="2:2" x14ac:dyDescent="0.4">
      <c r="B93" t="s">
        <v>176</v>
      </c>
    </row>
    <row r="94" spans="2:2" x14ac:dyDescent="0.4">
      <c r="B94" t="s">
        <v>91</v>
      </c>
    </row>
    <row r="95" spans="2:2" x14ac:dyDescent="0.4">
      <c r="B95" t="s">
        <v>67</v>
      </c>
    </row>
    <row r="96" spans="2:2" x14ac:dyDescent="0.4">
      <c r="B96" t="s">
        <v>68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2F1BB-A6A8-420E-B91C-76D7ED2979F0}">
  <dimension ref="A1:C205"/>
  <sheetViews>
    <sheetView workbookViewId="0">
      <selection activeCell="B3" sqref="B3"/>
    </sheetView>
  </sheetViews>
  <sheetFormatPr defaultRowHeight="17.399999999999999" x14ac:dyDescent="0.4"/>
  <cols>
    <col min="1" max="1" width="4.5" bestFit="1" customWidth="1"/>
    <col min="2" max="2" width="14.19921875" bestFit="1" customWidth="1"/>
  </cols>
  <sheetData>
    <row r="1" spans="1:3" x14ac:dyDescent="0.4">
      <c r="A1">
        <v>1</v>
      </c>
      <c r="B1" t="str" cm="1">
        <f t="array" ref="B1">INDEX(ListSheets,A1)</f>
        <v>2025-01-32</v>
      </c>
    </row>
    <row r="2" spans="1:3" x14ac:dyDescent="0.4">
      <c r="A2">
        <v>2</v>
      </c>
      <c r="B2" t="str" cm="1">
        <f t="array" ref="B2">INDEX(ListSheets,A2)</f>
        <v>목차</v>
      </c>
    </row>
    <row r="3" spans="1:3" x14ac:dyDescent="0.4">
      <c r="A3">
        <v>3</v>
      </c>
      <c r="B3" t="str" cm="1">
        <f t="array" ref="B3">INDEX(ListSheets,A3)</f>
        <v>2024-11-22 (3)</v>
      </c>
      <c r="C3" s="65" t="s">
        <v>109</v>
      </c>
    </row>
    <row r="4" spans="1:3" x14ac:dyDescent="0.4">
      <c r="A4">
        <v>4</v>
      </c>
      <c r="B4" t="str" cm="1">
        <f t="array" ref="B4">INDEX(ListSheets,A4)</f>
        <v>콤보박스</v>
      </c>
      <c r="C4" s="3" t="e">
        <f>#REF!</f>
        <v>#REF!</v>
      </c>
    </row>
    <row r="5" spans="1:3" x14ac:dyDescent="0.4">
      <c r="A5">
        <v>5</v>
      </c>
      <c r="B5" t="str" cm="1">
        <f t="array" ref="B5">INDEX(ListSheets,A5)</f>
        <v>SheetName</v>
      </c>
    </row>
    <row r="6" spans="1:3" x14ac:dyDescent="0.4">
      <c r="A6">
        <v>6</v>
      </c>
      <c r="B6" t="str" cm="1">
        <f t="array" ref="B6">INDEX(ListSheets,A6)</f>
        <v>2025-01-32 (3)</v>
      </c>
    </row>
    <row r="7" spans="1:3" x14ac:dyDescent="0.4">
      <c r="A7">
        <v>7</v>
      </c>
      <c r="B7" t="str" cm="1">
        <f t="array" ref="B7">INDEX(ListSheets,A7)</f>
        <v>2025-01-32 (2)</v>
      </c>
    </row>
    <row r="8" spans="1:3" x14ac:dyDescent="0.4">
      <c r="A8">
        <v>8</v>
      </c>
      <c r="B8" t="e" cm="1">
        <f t="array" ref="B8">INDEX(ListSheets,A8)</f>
        <v>#REF!</v>
      </c>
    </row>
    <row r="9" spans="1:3" x14ac:dyDescent="0.4">
      <c r="A9">
        <v>9</v>
      </c>
      <c r="B9" t="e" cm="1">
        <f t="array" ref="B9">INDEX(ListSheets,A9)</f>
        <v>#REF!</v>
      </c>
    </row>
    <row r="10" spans="1:3" x14ac:dyDescent="0.4">
      <c r="A10">
        <v>10</v>
      </c>
      <c r="B10" t="e" cm="1">
        <f t="array" ref="B10">INDEX(ListSheets,A10)</f>
        <v>#REF!</v>
      </c>
    </row>
    <row r="11" spans="1:3" x14ac:dyDescent="0.4">
      <c r="A11">
        <v>11</v>
      </c>
      <c r="B11" t="e" cm="1">
        <f t="array" ref="B11">INDEX(ListSheets,A11)</f>
        <v>#REF!</v>
      </c>
    </row>
    <row r="12" spans="1:3" x14ac:dyDescent="0.4">
      <c r="A12">
        <v>12</v>
      </c>
      <c r="B12" t="e" cm="1">
        <f t="array" ref="B12">INDEX(ListSheets,A12)</f>
        <v>#REF!</v>
      </c>
    </row>
    <row r="13" spans="1:3" x14ac:dyDescent="0.4">
      <c r="A13">
        <v>13</v>
      </c>
      <c r="B13" t="e" cm="1">
        <f t="array" ref="B13">INDEX(ListSheets,A13)</f>
        <v>#REF!</v>
      </c>
    </row>
    <row r="14" spans="1:3" x14ac:dyDescent="0.4">
      <c r="A14">
        <v>14</v>
      </c>
      <c r="B14" t="e" cm="1">
        <f t="array" ref="B14">INDEX(ListSheets,A14)</f>
        <v>#REF!</v>
      </c>
    </row>
    <row r="15" spans="1:3" x14ac:dyDescent="0.4">
      <c r="A15">
        <v>15</v>
      </c>
      <c r="B15" t="e" cm="1">
        <f t="array" ref="B15">INDEX(ListSheets,A15)</f>
        <v>#REF!</v>
      </c>
    </row>
    <row r="16" spans="1:3" x14ac:dyDescent="0.4">
      <c r="A16">
        <v>16</v>
      </c>
      <c r="B16" t="e" cm="1">
        <f t="array" ref="B16">INDEX(ListSheets,A16)</f>
        <v>#REF!</v>
      </c>
    </row>
    <row r="17" spans="1:2" x14ac:dyDescent="0.4">
      <c r="A17">
        <v>17</v>
      </c>
      <c r="B17" t="e" cm="1">
        <f t="array" ref="B17">INDEX(ListSheets,A17)</f>
        <v>#REF!</v>
      </c>
    </row>
    <row r="18" spans="1:2" x14ac:dyDescent="0.4">
      <c r="A18">
        <v>18</v>
      </c>
      <c r="B18" t="e" cm="1">
        <f t="array" ref="B18">INDEX(ListSheets,A18)</f>
        <v>#REF!</v>
      </c>
    </row>
    <row r="19" spans="1:2" x14ac:dyDescent="0.4">
      <c r="A19">
        <v>19</v>
      </c>
      <c r="B19" t="e" cm="1">
        <f t="array" ref="B19">INDEX(ListSheets,A19)</f>
        <v>#REF!</v>
      </c>
    </row>
    <row r="20" spans="1:2" x14ac:dyDescent="0.4">
      <c r="A20">
        <v>20</v>
      </c>
      <c r="B20" t="e" cm="1">
        <f t="array" ref="B20">INDEX(ListSheets,A20)</f>
        <v>#REF!</v>
      </c>
    </row>
    <row r="21" spans="1:2" x14ac:dyDescent="0.4">
      <c r="A21">
        <v>21</v>
      </c>
      <c r="B21" t="e" cm="1">
        <f t="array" ref="B21">INDEX(ListSheets,A21)</f>
        <v>#REF!</v>
      </c>
    </row>
    <row r="22" spans="1:2" x14ac:dyDescent="0.4">
      <c r="A22">
        <v>22</v>
      </c>
      <c r="B22" t="e" cm="1">
        <f t="array" ref="B22">INDEX(ListSheets,A22)</f>
        <v>#REF!</v>
      </c>
    </row>
    <row r="23" spans="1:2" x14ac:dyDescent="0.4">
      <c r="A23">
        <v>23</v>
      </c>
      <c r="B23" t="e" cm="1">
        <f t="array" ref="B23">INDEX(ListSheets,A23)</f>
        <v>#REF!</v>
      </c>
    </row>
    <row r="24" spans="1:2" x14ac:dyDescent="0.4">
      <c r="A24">
        <v>24</v>
      </c>
      <c r="B24" t="e" cm="1">
        <f t="array" ref="B24">INDEX(ListSheets,A24)</f>
        <v>#REF!</v>
      </c>
    </row>
    <row r="25" spans="1:2" x14ac:dyDescent="0.4">
      <c r="A25">
        <v>25</v>
      </c>
      <c r="B25" t="e" cm="1">
        <f t="array" ref="B25">INDEX(ListSheets,A25)</f>
        <v>#REF!</v>
      </c>
    </row>
    <row r="26" spans="1:2" x14ac:dyDescent="0.4">
      <c r="A26">
        <v>26</v>
      </c>
      <c r="B26" t="e" cm="1">
        <f t="array" ref="B26">INDEX(ListSheets,A26)</f>
        <v>#REF!</v>
      </c>
    </row>
    <row r="27" spans="1:2" x14ac:dyDescent="0.4">
      <c r="A27">
        <v>27</v>
      </c>
      <c r="B27" t="e" cm="1">
        <f t="array" ref="B27">INDEX(ListSheets,A27)</f>
        <v>#REF!</v>
      </c>
    </row>
    <row r="28" spans="1:2" x14ac:dyDescent="0.4">
      <c r="A28">
        <v>28</v>
      </c>
      <c r="B28" t="e" cm="1">
        <f t="array" ref="B28">INDEX(ListSheets,A28)</f>
        <v>#REF!</v>
      </c>
    </row>
    <row r="29" spans="1:2" x14ac:dyDescent="0.4">
      <c r="A29">
        <v>29</v>
      </c>
      <c r="B29" t="e" cm="1">
        <f t="array" ref="B29">INDEX(ListSheets,A29)</f>
        <v>#REF!</v>
      </c>
    </row>
    <row r="30" spans="1:2" x14ac:dyDescent="0.4">
      <c r="A30">
        <v>30</v>
      </c>
      <c r="B30" t="e" cm="1">
        <f t="array" ref="B30">INDEX(ListSheets,A30)</f>
        <v>#REF!</v>
      </c>
    </row>
    <row r="31" spans="1:2" x14ac:dyDescent="0.4">
      <c r="A31">
        <v>31</v>
      </c>
      <c r="B31" t="e" cm="1">
        <f t="array" ref="B31">INDEX(ListSheets,A31)</f>
        <v>#REF!</v>
      </c>
    </row>
    <row r="32" spans="1:2" x14ac:dyDescent="0.4">
      <c r="A32">
        <v>32</v>
      </c>
      <c r="B32" t="e" cm="1">
        <f t="array" ref="B32">INDEX(ListSheets,A32)</f>
        <v>#REF!</v>
      </c>
    </row>
    <row r="33" spans="1:2" x14ac:dyDescent="0.4">
      <c r="A33">
        <v>33</v>
      </c>
      <c r="B33" t="e" cm="1">
        <f t="array" ref="B33">INDEX(ListSheets,A33)</f>
        <v>#REF!</v>
      </c>
    </row>
    <row r="34" spans="1:2" x14ac:dyDescent="0.4">
      <c r="A34">
        <v>34</v>
      </c>
      <c r="B34" t="e" cm="1">
        <f t="array" ref="B34">INDEX(ListSheets,A34)</f>
        <v>#REF!</v>
      </c>
    </row>
    <row r="35" spans="1:2" x14ac:dyDescent="0.4">
      <c r="A35">
        <v>35</v>
      </c>
      <c r="B35" t="e" cm="1">
        <f t="array" ref="B35">INDEX(ListSheets,A35)</f>
        <v>#REF!</v>
      </c>
    </row>
    <row r="36" spans="1:2" x14ac:dyDescent="0.4">
      <c r="A36">
        <v>36</v>
      </c>
      <c r="B36" t="e" cm="1">
        <f t="array" ref="B36">INDEX(ListSheets,A36)</f>
        <v>#REF!</v>
      </c>
    </row>
    <row r="37" spans="1:2" x14ac:dyDescent="0.4">
      <c r="A37">
        <v>37</v>
      </c>
      <c r="B37" t="e" cm="1">
        <f t="array" ref="B37">INDEX(ListSheets,A37)</f>
        <v>#REF!</v>
      </c>
    </row>
    <row r="38" spans="1:2" x14ac:dyDescent="0.4">
      <c r="A38">
        <v>38</v>
      </c>
      <c r="B38" t="e" cm="1">
        <f t="array" ref="B38">INDEX(ListSheets,A38)</f>
        <v>#REF!</v>
      </c>
    </row>
    <row r="39" spans="1:2" x14ac:dyDescent="0.4">
      <c r="A39">
        <v>39</v>
      </c>
      <c r="B39" t="e" cm="1">
        <f t="array" ref="B39">INDEX(ListSheets,A39)</f>
        <v>#REF!</v>
      </c>
    </row>
    <row r="40" spans="1:2" x14ac:dyDescent="0.4">
      <c r="A40">
        <v>40</v>
      </c>
      <c r="B40" t="e" cm="1">
        <f t="array" ref="B40">INDEX(ListSheets,A40)</f>
        <v>#REF!</v>
      </c>
    </row>
    <row r="41" spans="1:2" x14ac:dyDescent="0.4">
      <c r="A41">
        <v>41</v>
      </c>
      <c r="B41" t="e" cm="1">
        <f t="array" ref="B41">INDEX(ListSheets,A41)</f>
        <v>#REF!</v>
      </c>
    </row>
    <row r="42" spans="1:2" x14ac:dyDescent="0.4">
      <c r="A42">
        <v>42</v>
      </c>
      <c r="B42" t="e" cm="1">
        <f t="array" ref="B42">INDEX(ListSheets,A42)</f>
        <v>#REF!</v>
      </c>
    </row>
    <row r="43" spans="1:2" x14ac:dyDescent="0.4">
      <c r="A43">
        <v>43</v>
      </c>
      <c r="B43" t="e" cm="1">
        <f t="array" ref="B43">INDEX(ListSheets,A43)</f>
        <v>#REF!</v>
      </c>
    </row>
    <row r="44" spans="1:2" x14ac:dyDescent="0.4">
      <c r="A44">
        <v>44</v>
      </c>
      <c r="B44" t="e" cm="1">
        <f t="array" ref="B44">INDEX(ListSheets,A44)</f>
        <v>#REF!</v>
      </c>
    </row>
    <row r="45" spans="1:2" x14ac:dyDescent="0.4">
      <c r="A45">
        <v>45</v>
      </c>
      <c r="B45" t="e" cm="1">
        <f t="array" ref="B45">INDEX(ListSheets,A45)</f>
        <v>#REF!</v>
      </c>
    </row>
    <row r="46" spans="1:2" x14ac:dyDescent="0.4">
      <c r="A46">
        <v>46</v>
      </c>
      <c r="B46" t="e" cm="1">
        <f t="array" ref="B46">INDEX(ListSheets,A46)</f>
        <v>#REF!</v>
      </c>
    </row>
    <row r="47" spans="1:2" x14ac:dyDescent="0.4">
      <c r="A47">
        <v>47</v>
      </c>
      <c r="B47" t="e" cm="1">
        <f t="array" ref="B47">INDEX(ListSheets,A47)</f>
        <v>#REF!</v>
      </c>
    </row>
    <row r="48" spans="1:2" x14ac:dyDescent="0.4">
      <c r="A48">
        <v>48</v>
      </c>
      <c r="B48" t="e" cm="1">
        <f t="array" ref="B48">INDEX(ListSheets,A48)</f>
        <v>#REF!</v>
      </c>
    </row>
    <row r="49" spans="1:2" x14ac:dyDescent="0.4">
      <c r="A49">
        <v>49</v>
      </c>
      <c r="B49" t="e" cm="1">
        <f t="array" ref="B49">INDEX(ListSheets,A49)</f>
        <v>#REF!</v>
      </c>
    </row>
    <row r="50" spans="1:2" x14ac:dyDescent="0.4">
      <c r="A50">
        <v>50</v>
      </c>
      <c r="B50" t="e" cm="1">
        <f t="array" ref="B50">INDEX(ListSheets,A50)</f>
        <v>#REF!</v>
      </c>
    </row>
    <row r="51" spans="1:2" x14ac:dyDescent="0.4">
      <c r="A51">
        <v>51</v>
      </c>
      <c r="B51" t="e" cm="1">
        <f t="array" ref="B51">INDEX(ListSheets,A51)</f>
        <v>#REF!</v>
      </c>
    </row>
    <row r="52" spans="1:2" x14ac:dyDescent="0.4">
      <c r="A52">
        <v>52</v>
      </c>
      <c r="B52" t="e" cm="1">
        <f t="array" ref="B52">INDEX(ListSheets,A52)</f>
        <v>#REF!</v>
      </c>
    </row>
    <row r="53" spans="1:2" x14ac:dyDescent="0.4">
      <c r="A53">
        <v>53</v>
      </c>
      <c r="B53" t="e" cm="1">
        <f t="array" ref="B53">INDEX(ListSheets,A53)</f>
        <v>#REF!</v>
      </c>
    </row>
    <row r="54" spans="1:2" x14ac:dyDescent="0.4">
      <c r="A54">
        <v>54</v>
      </c>
      <c r="B54" t="e" cm="1">
        <f t="array" ref="B54">INDEX(ListSheets,A54)</f>
        <v>#REF!</v>
      </c>
    </row>
    <row r="55" spans="1:2" x14ac:dyDescent="0.4">
      <c r="A55">
        <v>55</v>
      </c>
      <c r="B55" t="e" cm="1">
        <f t="array" ref="B55">INDEX(ListSheets,A55)</f>
        <v>#REF!</v>
      </c>
    </row>
    <row r="56" spans="1:2" x14ac:dyDescent="0.4">
      <c r="A56">
        <v>56</v>
      </c>
      <c r="B56" t="e" cm="1">
        <f t="array" ref="B56">INDEX(ListSheets,A56)</f>
        <v>#REF!</v>
      </c>
    </row>
    <row r="57" spans="1:2" x14ac:dyDescent="0.4">
      <c r="A57">
        <v>57</v>
      </c>
      <c r="B57" t="e" cm="1">
        <f t="array" ref="B57">INDEX(ListSheets,A57)</f>
        <v>#REF!</v>
      </c>
    </row>
    <row r="58" spans="1:2" x14ac:dyDescent="0.4">
      <c r="A58">
        <v>58</v>
      </c>
      <c r="B58" t="e" cm="1">
        <f t="array" ref="B58">INDEX(ListSheets,A58)</f>
        <v>#REF!</v>
      </c>
    </row>
    <row r="59" spans="1:2" x14ac:dyDescent="0.4">
      <c r="A59">
        <v>59</v>
      </c>
      <c r="B59" t="e" cm="1">
        <f t="array" ref="B59">INDEX(ListSheets,A59)</f>
        <v>#REF!</v>
      </c>
    </row>
    <row r="60" spans="1:2" x14ac:dyDescent="0.4">
      <c r="A60">
        <v>60</v>
      </c>
      <c r="B60" t="e" cm="1">
        <f t="array" ref="B60">INDEX(ListSheets,A60)</f>
        <v>#REF!</v>
      </c>
    </row>
    <row r="61" spans="1:2" x14ac:dyDescent="0.4">
      <c r="A61">
        <v>61</v>
      </c>
      <c r="B61" t="e" cm="1">
        <f t="array" ref="B61">INDEX(ListSheets,A61)</f>
        <v>#REF!</v>
      </c>
    </row>
    <row r="62" spans="1:2" x14ac:dyDescent="0.4">
      <c r="A62">
        <v>62</v>
      </c>
      <c r="B62" t="e" cm="1">
        <f t="array" ref="B62">INDEX(ListSheets,A62)</f>
        <v>#REF!</v>
      </c>
    </row>
    <row r="63" spans="1:2" x14ac:dyDescent="0.4">
      <c r="A63">
        <v>63</v>
      </c>
      <c r="B63" t="e" cm="1">
        <f t="array" ref="B63">INDEX(ListSheets,A63)</f>
        <v>#REF!</v>
      </c>
    </row>
    <row r="64" spans="1:2" x14ac:dyDescent="0.4">
      <c r="A64">
        <v>64</v>
      </c>
      <c r="B64" t="e" cm="1">
        <f t="array" ref="B64">INDEX(ListSheets,A64)</f>
        <v>#REF!</v>
      </c>
    </row>
    <row r="65" spans="1:2" x14ac:dyDescent="0.4">
      <c r="A65">
        <v>65</v>
      </c>
      <c r="B65" t="e" cm="1">
        <f t="array" ref="B65">INDEX(ListSheets,A65)</f>
        <v>#REF!</v>
      </c>
    </row>
    <row r="66" spans="1:2" x14ac:dyDescent="0.4">
      <c r="A66">
        <v>66</v>
      </c>
      <c r="B66" t="e" cm="1">
        <f t="array" ref="B66">INDEX(ListSheets,A66)</f>
        <v>#REF!</v>
      </c>
    </row>
    <row r="67" spans="1:2" x14ac:dyDescent="0.4">
      <c r="A67">
        <v>67</v>
      </c>
      <c r="B67" t="e" cm="1">
        <f t="array" ref="B67">INDEX(ListSheets,A67)</f>
        <v>#REF!</v>
      </c>
    </row>
    <row r="68" spans="1:2" x14ac:dyDescent="0.4">
      <c r="A68">
        <v>68</v>
      </c>
    </row>
    <row r="69" spans="1:2" x14ac:dyDescent="0.4">
      <c r="A69">
        <v>69</v>
      </c>
    </row>
    <row r="70" spans="1:2" x14ac:dyDescent="0.4">
      <c r="A70">
        <v>70</v>
      </c>
    </row>
    <row r="71" spans="1:2" x14ac:dyDescent="0.4">
      <c r="A71">
        <v>71</v>
      </c>
    </row>
    <row r="72" spans="1:2" x14ac:dyDescent="0.4">
      <c r="A72">
        <v>72</v>
      </c>
    </row>
    <row r="73" spans="1:2" x14ac:dyDescent="0.4">
      <c r="A73">
        <v>73</v>
      </c>
    </row>
    <row r="74" spans="1:2" x14ac:dyDescent="0.4">
      <c r="A74">
        <v>74</v>
      </c>
    </row>
    <row r="75" spans="1:2" x14ac:dyDescent="0.4">
      <c r="A75">
        <v>75</v>
      </c>
    </row>
    <row r="76" spans="1:2" x14ac:dyDescent="0.4">
      <c r="A76">
        <v>76</v>
      </c>
    </row>
    <row r="77" spans="1:2" x14ac:dyDescent="0.4">
      <c r="A77">
        <v>77</v>
      </c>
    </row>
    <row r="78" spans="1:2" x14ac:dyDescent="0.4">
      <c r="A78">
        <v>78</v>
      </c>
    </row>
    <row r="79" spans="1:2" x14ac:dyDescent="0.4">
      <c r="A79">
        <v>79</v>
      </c>
    </row>
    <row r="80" spans="1:2" x14ac:dyDescent="0.4">
      <c r="A80">
        <v>80</v>
      </c>
    </row>
    <row r="81" spans="1:1" x14ac:dyDescent="0.4">
      <c r="A81">
        <v>81</v>
      </c>
    </row>
    <row r="82" spans="1:1" x14ac:dyDescent="0.4">
      <c r="A82">
        <v>82</v>
      </c>
    </row>
    <row r="83" spans="1:1" x14ac:dyDescent="0.4">
      <c r="A83">
        <v>83</v>
      </c>
    </row>
    <row r="84" spans="1:1" x14ac:dyDescent="0.4">
      <c r="A84">
        <v>84</v>
      </c>
    </row>
    <row r="85" spans="1:1" x14ac:dyDescent="0.4">
      <c r="A85">
        <v>85</v>
      </c>
    </row>
    <row r="86" spans="1:1" x14ac:dyDescent="0.4">
      <c r="A86">
        <v>86</v>
      </c>
    </row>
    <row r="87" spans="1:1" x14ac:dyDescent="0.4">
      <c r="A87">
        <v>87</v>
      </c>
    </row>
    <row r="88" spans="1:1" x14ac:dyDescent="0.4">
      <c r="A88">
        <v>88</v>
      </c>
    </row>
    <row r="89" spans="1:1" x14ac:dyDescent="0.4">
      <c r="A89">
        <v>89</v>
      </c>
    </row>
    <row r="90" spans="1:1" x14ac:dyDescent="0.4">
      <c r="A90">
        <v>90</v>
      </c>
    </row>
    <row r="91" spans="1:1" x14ac:dyDescent="0.4">
      <c r="A91">
        <v>91</v>
      </c>
    </row>
    <row r="92" spans="1:1" x14ac:dyDescent="0.4">
      <c r="A92">
        <v>92</v>
      </c>
    </row>
    <row r="93" spans="1:1" x14ac:dyDescent="0.4">
      <c r="A93">
        <v>93</v>
      </c>
    </row>
    <row r="94" spans="1:1" x14ac:dyDescent="0.4">
      <c r="A94">
        <v>94</v>
      </c>
    </row>
    <row r="95" spans="1:1" x14ac:dyDescent="0.4">
      <c r="A95">
        <v>95</v>
      </c>
    </row>
    <row r="96" spans="1:1" x14ac:dyDescent="0.4">
      <c r="A96">
        <v>96</v>
      </c>
    </row>
    <row r="97" spans="1:1" x14ac:dyDescent="0.4">
      <c r="A97">
        <v>97</v>
      </c>
    </row>
    <row r="98" spans="1:1" x14ac:dyDescent="0.4">
      <c r="A98">
        <v>98</v>
      </c>
    </row>
    <row r="99" spans="1:1" x14ac:dyDescent="0.4">
      <c r="A99">
        <v>99</v>
      </c>
    </row>
    <row r="100" spans="1:1" x14ac:dyDescent="0.4">
      <c r="A100">
        <v>100</v>
      </c>
    </row>
    <row r="101" spans="1:1" x14ac:dyDescent="0.4">
      <c r="A101">
        <v>101</v>
      </c>
    </row>
    <row r="102" spans="1:1" x14ac:dyDescent="0.4">
      <c r="A102">
        <v>102</v>
      </c>
    </row>
    <row r="103" spans="1:1" x14ac:dyDescent="0.4">
      <c r="A103">
        <v>103</v>
      </c>
    </row>
    <row r="104" spans="1:1" x14ac:dyDescent="0.4">
      <c r="A104">
        <v>104</v>
      </c>
    </row>
    <row r="105" spans="1:1" x14ac:dyDescent="0.4">
      <c r="A105">
        <v>105</v>
      </c>
    </row>
    <row r="106" spans="1:1" x14ac:dyDescent="0.4">
      <c r="A106">
        <v>106</v>
      </c>
    </row>
    <row r="107" spans="1:1" x14ac:dyDescent="0.4">
      <c r="A107">
        <v>107</v>
      </c>
    </row>
    <row r="108" spans="1:1" x14ac:dyDescent="0.4">
      <c r="A108">
        <v>108</v>
      </c>
    </row>
    <row r="109" spans="1:1" x14ac:dyDescent="0.4">
      <c r="A109">
        <v>109</v>
      </c>
    </row>
    <row r="110" spans="1:1" x14ac:dyDescent="0.4">
      <c r="A110">
        <v>110</v>
      </c>
    </row>
    <row r="111" spans="1:1" x14ac:dyDescent="0.4">
      <c r="A111">
        <v>111</v>
      </c>
    </row>
    <row r="112" spans="1:1" x14ac:dyDescent="0.4">
      <c r="A112">
        <v>112</v>
      </c>
    </row>
    <row r="113" spans="1:1" x14ac:dyDescent="0.4">
      <c r="A113">
        <v>113</v>
      </c>
    </row>
    <row r="114" spans="1:1" x14ac:dyDescent="0.4">
      <c r="A114">
        <v>114</v>
      </c>
    </row>
    <row r="115" spans="1:1" x14ac:dyDescent="0.4">
      <c r="A115">
        <v>115</v>
      </c>
    </row>
    <row r="116" spans="1:1" x14ac:dyDescent="0.4">
      <c r="A116">
        <v>116</v>
      </c>
    </row>
    <row r="117" spans="1:1" x14ac:dyDescent="0.4">
      <c r="A117">
        <v>117</v>
      </c>
    </row>
    <row r="118" spans="1:1" x14ac:dyDescent="0.4">
      <c r="A118">
        <v>118</v>
      </c>
    </row>
    <row r="119" spans="1:1" x14ac:dyDescent="0.4">
      <c r="A119">
        <v>119</v>
      </c>
    </row>
    <row r="120" spans="1:1" x14ac:dyDescent="0.4">
      <c r="A120">
        <v>120</v>
      </c>
    </row>
    <row r="121" spans="1:1" x14ac:dyDescent="0.4">
      <c r="A121">
        <v>121</v>
      </c>
    </row>
    <row r="122" spans="1:1" x14ac:dyDescent="0.4">
      <c r="A122">
        <v>122</v>
      </c>
    </row>
    <row r="123" spans="1:1" x14ac:dyDescent="0.4">
      <c r="A123">
        <v>123</v>
      </c>
    </row>
    <row r="124" spans="1:1" x14ac:dyDescent="0.4">
      <c r="A124">
        <v>124</v>
      </c>
    </row>
    <row r="125" spans="1:1" x14ac:dyDescent="0.4">
      <c r="A125">
        <v>125</v>
      </c>
    </row>
    <row r="126" spans="1:1" x14ac:dyDescent="0.4">
      <c r="A126">
        <v>126</v>
      </c>
    </row>
    <row r="127" spans="1:1" x14ac:dyDescent="0.4">
      <c r="A127">
        <v>127</v>
      </c>
    </row>
    <row r="128" spans="1:1" x14ac:dyDescent="0.4">
      <c r="A128">
        <v>128</v>
      </c>
    </row>
    <row r="129" spans="1:1" x14ac:dyDescent="0.4">
      <c r="A129">
        <v>129</v>
      </c>
    </row>
    <row r="130" spans="1:1" x14ac:dyDescent="0.4">
      <c r="A130">
        <v>130</v>
      </c>
    </row>
    <row r="131" spans="1:1" x14ac:dyDescent="0.4">
      <c r="A131">
        <v>131</v>
      </c>
    </row>
    <row r="132" spans="1:1" x14ac:dyDescent="0.4">
      <c r="A132">
        <v>132</v>
      </c>
    </row>
    <row r="133" spans="1:1" x14ac:dyDescent="0.4">
      <c r="A133">
        <v>133</v>
      </c>
    </row>
    <row r="134" spans="1:1" x14ac:dyDescent="0.4">
      <c r="A134">
        <v>134</v>
      </c>
    </row>
    <row r="135" spans="1:1" x14ac:dyDescent="0.4">
      <c r="A135">
        <v>135</v>
      </c>
    </row>
    <row r="136" spans="1:1" x14ac:dyDescent="0.4">
      <c r="A136">
        <v>136</v>
      </c>
    </row>
    <row r="137" spans="1:1" x14ac:dyDescent="0.4">
      <c r="A137">
        <v>137</v>
      </c>
    </row>
    <row r="138" spans="1:1" x14ac:dyDescent="0.4">
      <c r="A138">
        <v>138</v>
      </c>
    </row>
    <row r="139" spans="1:1" x14ac:dyDescent="0.4">
      <c r="A139">
        <v>139</v>
      </c>
    </row>
    <row r="140" spans="1:1" x14ac:dyDescent="0.4">
      <c r="A140">
        <v>140</v>
      </c>
    </row>
    <row r="141" spans="1:1" x14ac:dyDescent="0.4">
      <c r="A141">
        <v>141</v>
      </c>
    </row>
    <row r="142" spans="1:1" x14ac:dyDescent="0.4">
      <c r="A142">
        <v>142</v>
      </c>
    </row>
    <row r="143" spans="1:1" x14ac:dyDescent="0.4">
      <c r="A143">
        <v>143</v>
      </c>
    </row>
    <row r="144" spans="1:1" x14ac:dyDescent="0.4">
      <c r="A144">
        <v>144</v>
      </c>
    </row>
    <row r="145" spans="1:1" x14ac:dyDescent="0.4">
      <c r="A145">
        <v>145</v>
      </c>
    </row>
    <row r="146" spans="1:1" x14ac:dyDescent="0.4">
      <c r="A146">
        <v>146</v>
      </c>
    </row>
    <row r="147" spans="1:1" x14ac:dyDescent="0.4">
      <c r="A147">
        <v>147</v>
      </c>
    </row>
    <row r="148" spans="1:1" x14ac:dyDescent="0.4">
      <c r="A148">
        <v>148</v>
      </c>
    </row>
    <row r="149" spans="1:1" x14ac:dyDescent="0.4">
      <c r="A149">
        <v>149</v>
      </c>
    </row>
    <row r="150" spans="1:1" x14ac:dyDescent="0.4">
      <c r="A150">
        <v>150</v>
      </c>
    </row>
    <row r="151" spans="1:1" x14ac:dyDescent="0.4">
      <c r="A151">
        <v>151</v>
      </c>
    </row>
    <row r="152" spans="1:1" x14ac:dyDescent="0.4">
      <c r="A152">
        <v>152</v>
      </c>
    </row>
    <row r="153" spans="1:1" x14ac:dyDescent="0.4">
      <c r="A153">
        <v>153</v>
      </c>
    </row>
    <row r="154" spans="1:1" x14ac:dyDescent="0.4">
      <c r="A154">
        <v>154</v>
      </c>
    </row>
    <row r="155" spans="1:1" x14ac:dyDescent="0.4">
      <c r="A155">
        <v>155</v>
      </c>
    </row>
    <row r="156" spans="1:1" x14ac:dyDescent="0.4">
      <c r="A156">
        <v>156</v>
      </c>
    </row>
    <row r="157" spans="1:1" x14ac:dyDescent="0.4">
      <c r="A157">
        <v>157</v>
      </c>
    </row>
    <row r="158" spans="1:1" x14ac:dyDescent="0.4">
      <c r="A158">
        <v>158</v>
      </c>
    </row>
    <row r="159" spans="1:1" x14ac:dyDescent="0.4">
      <c r="A159">
        <v>159</v>
      </c>
    </row>
    <row r="160" spans="1:1" x14ac:dyDescent="0.4">
      <c r="A160">
        <v>160</v>
      </c>
    </row>
    <row r="161" spans="1:1" x14ac:dyDescent="0.4">
      <c r="A161">
        <v>161</v>
      </c>
    </row>
    <row r="162" spans="1:1" x14ac:dyDescent="0.4">
      <c r="A162">
        <v>162</v>
      </c>
    </row>
    <row r="163" spans="1:1" x14ac:dyDescent="0.4">
      <c r="A163">
        <v>163</v>
      </c>
    </row>
    <row r="164" spans="1:1" x14ac:dyDescent="0.4">
      <c r="A164">
        <v>164</v>
      </c>
    </row>
    <row r="165" spans="1:1" x14ac:dyDescent="0.4">
      <c r="A165">
        <v>165</v>
      </c>
    </row>
    <row r="166" spans="1:1" x14ac:dyDescent="0.4">
      <c r="A166">
        <v>166</v>
      </c>
    </row>
    <row r="167" spans="1:1" x14ac:dyDescent="0.4">
      <c r="A167">
        <v>167</v>
      </c>
    </row>
    <row r="168" spans="1:1" x14ac:dyDescent="0.4">
      <c r="A168">
        <v>168</v>
      </c>
    </row>
    <row r="169" spans="1:1" x14ac:dyDescent="0.4">
      <c r="A169">
        <v>169</v>
      </c>
    </row>
    <row r="170" spans="1:1" x14ac:dyDescent="0.4">
      <c r="A170">
        <v>170</v>
      </c>
    </row>
    <row r="171" spans="1:1" x14ac:dyDescent="0.4">
      <c r="A171">
        <v>171</v>
      </c>
    </row>
    <row r="172" spans="1:1" x14ac:dyDescent="0.4">
      <c r="A172">
        <v>172</v>
      </c>
    </row>
    <row r="173" spans="1:1" x14ac:dyDescent="0.4">
      <c r="A173">
        <v>173</v>
      </c>
    </row>
    <row r="174" spans="1:1" x14ac:dyDescent="0.4">
      <c r="A174">
        <v>174</v>
      </c>
    </row>
    <row r="175" spans="1:1" x14ac:dyDescent="0.4">
      <c r="A175">
        <v>175</v>
      </c>
    </row>
    <row r="176" spans="1:1" x14ac:dyDescent="0.4">
      <c r="A176">
        <v>176</v>
      </c>
    </row>
    <row r="177" spans="1:1" x14ac:dyDescent="0.4">
      <c r="A177">
        <v>177</v>
      </c>
    </row>
    <row r="178" spans="1:1" x14ac:dyDescent="0.4">
      <c r="A178">
        <v>178</v>
      </c>
    </row>
    <row r="179" spans="1:1" x14ac:dyDescent="0.4">
      <c r="A179">
        <v>179</v>
      </c>
    </row>
    <row r="180" spans="1:1" x14ac:dyDescent="0.4">
      <c r="A180">
        <v>180</v>
      </c>
    </row>
    <row r="181" spans="1:1" x14ac:dyDescent="0.4">
      <c r="A181">
        <v>181</v>
      </c>
    </row>
    <row r="182" spans="1:1" x14ac:dyDescent="0.4">
      <c r="A182">
        <v>182</v>
      </c>
    </row>
    <row r="183" spans="1:1" x14ac:dyDescent="0.4">
      <c r="A183">
        <v>183</v>
      </c>
    </row>
    <row r="184" spans="1:1" x14ac:dyDescent="0.4">
      <c r="A184">
        <v>184</v>
      </c>
    </row>
    <row r="185" spans="1:1" x14ac:dyDescent="0.4">
      <c r="A185">
        <v>185</v>
      </c>
    </row>
    <row r="186" spans="1:1" x14ac:dyDescent="0.4">
      <c r="A186">
        <v>186</v>
      </c>
    </row>
    <row r="187" spans="1:1" x14ac:dyDescent="0.4">
      <c r="A187">
        <v>187</v>
      </c>
    </row>
    <row r="188" spans="1:1" x14ac:dyDescent="0.4">
      <c r="A188">
        <v>188</v>
      </c>
    </row>
    <row r="189" spans="1:1" x14ac:dyDescent="0.4">
      <c r="A189">
        <v>189</v>
      </c>
    </row>
    <row r="190" spans="1:1" x14ac:dyDescent="0.4">
      <c r="A190">
        <v>190</v>
      </c>
    </row>
    <row r="191" spans="1:1" x14ac:dyDescent="0.4">
      <c r="A191">
        <v>191</v>
      </c>
    </row>
    <row r="192" spans="1:1" x14ac:dyDescent="0.4">
      <c r="A192">
        <v>192</v>
      </c>
    </row>
    <row r="193" spans="1:1" x14ac:dyDescent="0.4">
      <c r="A193">
        <v>193</v>
      </c>
    </row>
    <row r="194" spans="1:1" x14ac:dyDescent="0.4">
      <c r="A194">
        <v>194</v>
      </c>
    </row>
    <row r="195" spans="1:1" x14ac:dyDescent="0.4">
      <c r="A195">
        <v>195</v>
      </c>
    </row>
    <row r="196" spans="1:1" x14ac:dyDescent="0.4">
      <c r="A196">
        <v>196</v>
      </c>
    </row>
    <row r="197" spans="1:1" x14ac:dyDescent="0.4">
      <c r="A197">
        <v>197</v>
      </c>
    </row>
    <row r="198" spans="1:1" x14ac:dyDescent="0.4">
      <c r="A198">
        <v>198</v>
      </c>
    </row>
    <row r="199" spans="1:1" x14ac:dyDescent="0.4">
      <c r="A199">
        <v>199</v>
      </c>
    </row>
    <row r="200" spans="1:1" x14ac:dyDescent="0.4">
      <c r="A200">
        <v>200</v>
      </c>
    </row>
    <row r="201" spans="1:1" x14ac:dyDescent="0.4">
      <c r="A201">
        <v>201</v>
      </c>
    </row>
    <row r="202" spans="1:1" x14ac:dyDescent="0.4">
      <c r="A202">
        <v>202</v>
      </c>
    </row>
    <row r="203" spans="1:1" x14ac:dyDescent="0.4">
      <c r="A203">
        <v>203</v>
      </c>
    </row>
    <row r="204" spans="1:1" x14ac:dyDescent="0.4">
      <c r="A204">
        <v>204</v>
      </c>
    </row>
    <row r="205" spans="1:1" x14ac:dyDescent="0.4">
      <c r="A205">
        <v>205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C3EF3-543E-4190-9BE8-735DEAECBAB1}">
  <dimension ref="B1:J61"/>
  <sheetViews>
    <sheetView topLeftCell="A18" workbookViewId="0">
      <selection activeCell="L6" sqref="L6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4" t="s">
        <v>12</v>
      </c>
      <c r="C2" s="69"/>
      <c r="D2" s="56"/>
      <c r="E2" s="7" t="s">
        <v>127</v>
      </c>
      <c r="F2" s="69"/>
      <c r="G2" s="69"/>
      <c r="H2" s="7" t="s">
        <v>122</v>
      </c>
      <c r="I2" s="57"/>
      <c r="J2" s="8"/>
    </row>
    <row r="3" spans="2:10" ht="18" thickBot="1" x14ac:dyDescent="0.45">
      <c r="B3" s="4" t="s">
        <v>94</v>
      </c>
      <c r="C3" s="52" t="s">
        <v>6</v>
      </c>
      <c r="D3" s="70"/>
      <c r="E3" s="7" t="s">
        <v>43</v>
      </c>
      <c r="F3" s="53"/>
      <c r="G3" s="70"/>
      <c r="H3" s="7" t="s">
        <v>7</v>
      </c>
      <c r="I3" s="75" t="s">
        <v>8</v>
      </c>
      <c r="J3" s="54"/>
    </row>
    <row r="4" spans="2:10" ht="18" thickBot="1" x14ac:dyDescent="0.45">
      <c r="B4" s="4" t="s">
        <v>167</v>
      </c>
      <c r="C4" s="69"/>
      <c r="D4" s="11"/>
      <c r="E4" s="7" t="s">
        <v>168</v>
      </c>
      <c r="F4" s="69"/>
      <c r="G4" s="11"/>
      <c r="H4" s="7" t="s">
        <v>47</v>
      </c>
      <c r="I4" s="11"/>
      <c r="J4" s="58"/>
    </row>
    <row r="5" spans="2:10" ht="18" thickBot="1" x14ac:dyDescent="0.45">
      <c r="B5" s="4" t="s">
        <v>177</v>
      </c>
      <c r="C5" s="72"/>
      <c r="D5" s="70"/>
      <c r="E5" s="7" t="s">
        <v>134</v>
      </c>
      <c r="F5" s="68"/>
      <c r="G5" s="70"/>
      <c r="H5" s="7" t="s">
        <v>132</v>
      </c>
      <c r="I5" s="70"/>
      <c r="J5" s="54"/>
    </row>
    <row r="6" spans="2:10" ht="18" thickBot="1" x14ac:dyDescent="0.45">
      <c r="B6" s="4" t="s">
        <v>178</v>
      </c>
      <c r="C6" s="67"/>
      <c r="D6" s="70"/>
      <c r="E6" s="7" t="s">
        <v>134</v>
      </c>
      <c r="F6" s="68"/>
      <c r="G6" s="70"/>
      <c r="H6" s="7" t="s">
        <v>132</v>
      </c>
      <c r="I6" s="70"/>
      <c r="J6" s="54"/>
    </row>
    <row r="7" spans="2:10" ht="18" thickBot="1" x14ac:dyDescent="0.45">
      <c r="B7" s="4" t="s">
        <v>10</v>
      </c>
      <c r="C7" s="57"/>
      <c r="D7" s="57"/>
      <c r="E7" s="57"/>
      <c r="F7" s="57"/>
      <c r="G7" s="57"/>
      <c r="H7" s="57"/>
      <c r="I7" s="57"/>
      <c r="J7" s="58"/>
    </row>
    <row r="8" spans="2:10" x14ac:dyDescent="0.4">
      <c r="B8" s="9" t="s">
        <v>11</v>
      </c>
      <c r="C8" s="21"/>
      <c r="D8" s="12"/>
      <c r="E8" s="12"/>
      <c r="F8" s="12"/>
      <c r="G8" s="12"/>
      <c r="H8" s="12"/>
      <c r="I8" s="12"/>
      <c r="J8" s="13"/>
    </row>
    <row r="9" spans="2:10" x14ac:dyDescent="0.4">
      <c r="B9" s="14"/>
      <c r="C9" s="25"/>
      <c r="D9" s="51"/>
      <c r="E9" s="51"/>
      <c r="F9" s="51"/>
      <c r="G9" s="51"/>
      <c r="H9" s="51"/>
      <c r="I9" s="51"/>
      <c r="J9" s="15"/>
    </row>
    <row r="10" spans="2:10" ht="18" thickBot="1" x14ac:dyDescent="0.45">
      <c r="B10" s="16"/>
      <c r="C10" s="17"/>
      <c r="D10" s="17"/>
      <c r="E10" s="17"/>
      <c r="F10" s="17"/>
      <c r="G10" s="17"/>
      <c r="H10" s="17"/>
      <c r="I10" s="17"/>
      <c r="J10" s="18"/>
    </row>
    <row r="11" spans="2:10" ht="18" thickBot="1" x14ac:dyDescent="0.45">
      <c r="B11" s="4" t="s">
        <v>13</v>
      </c>
      <c r="C11" s="11"/>
      <c r="D11" s="11"/>
      <c r="E11" s="11"/>
      <c r="F11" s="11"/>
      <c r="G11" s="11"/>
      <c r="H11" s="11"/>
      <c r="I11" s="11"/>
      <c r="J11" s="8"/>
    </row>
    <row r="12" spans="2:10" ht="18" thickBot="1" x14ac:dyDescent="0.45"/>
    <row r="13" spans="2:10" ht="18" thickBot="1" x14ac:dyDescent="0.45">
      <c r="B13" s="4" t="s">
        <v>0</v>
      </c>
      <c r="C13" s="69">
        <f>$F$2</f>
        <v>0</v>
      </c>
      <c r="D13" s="11"/>
      <c r="E13" s="7" t="s">
        <v>7</v>
      </c>
      <c r="F13" s="74" t="s">
        <v>8</v>
      </c>
      <c r="G13" s="8"/>
      <c r="H13" s="7" t="s">
        <v>111</v>
      </c>
      <c r="I13" s="11"/>
      <c r="J13" s="8"/>
    </row>
    <row r="14" spans="2:10" ht="18" thickBot="1" x14ac:dyDescent="0.45">
      <c r="B14" s="4" t="s">
        <v>44</v>
      </c>
      <c r="C14" s="53"/>
      <c r="D14" s="52"/>
      <c r="E14" s="7" t="s">
        <v>45</v>
      </c>
      <c r="F14" s="53"/>
      <c r="G14" s="52"/>
      <c r="H14" s="7" t="s">
        <v>46</v>
      </c>
      <c r="I14" s="71"/>
      <c r="J14" s="54"/>
    </row>
    <row r="15" spans="2:10" ht="18" thickBot="1" x14ac:dyDescent="0.45">
      <c r="B15" s="4" t="s">
        <v>10</v>
      </c>
      <c r="C15" s="57" t="s">
        <v>121</v>
      </c>
      <c r="D15" s="57"/>
      <c r="E15" s="57"/>
      <c r="F15" s="57"/>
      <c r="G15" s="57"/>
      <c r="H15" s="59"/>
      <c r="I15" s="57"/>
      <c r="J15" s="58"/>
    </row>
    <row r="16" spans="2:10" x14ac:dyDescent="0.4">
      <c r="B16" s="9" t="s">
        <v>11</v>
      </c>
      <c r="C16" s="21"/>
      <c r="D16" s="12"/>
      <c r="E16" s="12"/>
      <c r="F16" s="12"/>
      <c r="G16" s="12"/>
      <c r="H16" s="12"/>
      <c r="I16" s="12"/>
      <c r="J16" s="13"/>
    </row>
    <row r="17" spans="2:10" x14ac:dyDescent="0.4">
      <c r="B17" s="14"/>
      <c r="C17" s="25"/>
      <c r="D17" s="51"/>
      <c r="E17" s="51"/>
      <c r="F17" s="51"/>
      <c r="G17" s="51"/>
      <c r="H17" s="51"/>
      <c r="I17" s="51"/>
      <c r="J17" s="15"/>
    </row>
    <row r="18" spans="2:10" ht="18" thickBot="1" x14ac:dyDescent="0.45">
      <c r="B18" s="16"/>
      <c r="C18" s="17"/>
      <c r="D18" s="17"/>
      <c r="E18" s="51"/>
      <c r="F18" s="51"/>
      <c r="G18" s="51"/>
      <c r="H18" s="51"/>
      <c r="I18" s="51"/>
      <c r="J18" s="15"/>
    </row>
    <row r="19" spans="2:10" ht="18" thickBot="1" x14ac:dyDescent="0.45">
      <c r="B19" s="4" t="s">
        <v>13</v>
      </c>
      <c r="C19" s="11"/>
      <c r="D19" s="11"/>
      <c r="E19" s="11"/>
      <c r="F19" s="11"/>
      <c r="G19" s="11"/>
      <c r="H19" s="11"/>
      <c r="I19" s="11"/>
      <c r="J19" s="8"/>
    </row>
    <row r="20" spans="2:10" ht="18" thickBot="1" x14ac:dyDescent="0.45">
      <c r="B20" s="9" t="s">
        <v>58</v>
      </c>
      <c r="C20" s="64" t="s">
        <v>98</v>
      </c>
      <c r="D20" s="19" t="s">
        <v>113</v>
      </c>
      <c r="E20" s="20" t="s">
        <v>14</v>
      </c>
      <c r="F20" s="5"/>
      <c r="G20" s="6"/>
      <c r="H20" s="7" t="s">
        <v>46</v>
      </c>
      <c r="I20" s="11"/>
      <c r="J20" s="8"/>
    </row>
    <row r="21" spans="2:10" x14ac:dyDescent="0.4">
      <c r="B21" s="14"/>
      <c r="C21" s="21"/>
      <c r="D21" s="22"/>
      <c r="E21" s="22"/>
      <c r="F21" s="22"/>
      <c r="G21" s="22"/>
      <c r="H21" s="22"/>
      <c r="I21" s="22"/>
      <c r="J21" s="23"/>
    </row>
    <row r="22" spans="2:10" x14ac:dyDescent="0.4">
      <c r="B22" s="14"/>
      <c r="C22" s="24"/>
      <c r="D22" s="25"/>
      <c r="E22" s="25"/>
      <c r="F22" s="25"/>
      <c r="G22" s="25"/>
      <c r="H22" s="25"/>
      <c r="I22" s="25"/>
      <c r="J22" s="26"/>
    </row>
    <row r="23" spans="2:10" x14ac:dyDescent="0.4">
      <c r="B23" s="14"/>
      <c r="C23" s="24"/>
      <c r="D23" s="25"/>
      <c r="E23" s="25"/>
      <c r="F23" s="25"/>
      <c r="G23" s="25"/>
      <c r="H23" s="25"/>
      <c r="I23" s="25"/>
      <c r="J23" s="26"/>
    </row>
    <row r="24" spans="2:10" x14ac:dyDescent="0.4">
      <c r="B24" s="14"/>
      <c r="C24" s="24"/>
      <c r="D24" s="25"/>
      <c r="E24" s="25"/>
      <c r="F24" s="25"/>
      <c r="G24" s="25"/>
      <c r="H24" s="25"/>
      <c r="I24" s="25"/>
      <c r="J24" s="26"/>
    </row>
    <row r="25" spans="2:10" x14ac:dyDescent="0.4">
      <c r="B25" s="14"/>
      <c r="C25" s="24"/>
      <c r="D25" s="25"/>
      <c r="E25" s="25"/>
      <c r="F25" s="25"/>
      <c r="G25" s="25"/>
      <c r="H25" s="25"/>
      <c r="I25" s="25"/>
      <c r="J25" s="26"/>
    </row>
    <row r="26" spans="2:10" x14ac:dyDescent="0.4">
      <c r="B26" s="27"/>
      <c r="C26" s="24"/>
      <c r="D26" s="25"/>
      <c r="E26" s="25"/>
      <c r="F26" s="25"/>
      <c r="G26" s="25"/>
      <c r="H26" s="25"/>
      <c r="I26" s="25"/>
      <c r="J26" s="26"/>
    </row>
    <row r="27" spans="2:10" x14ac:dyDescent="0.4">
      <c r="B27" s="27"/>
      <c r="C27" s="24"/>
      <c r="D27" s="25"/>
      <c r="E27" s="25"/>
      <c r="F27" s="25"/>
      <c r="G27" s="25"/>
      <c r="H27" s="25"/>
      <c r="I27" s="25"/>
      <c r="J27" s="26"/>
    </row>
    <row r="28" spans="2:10" ht="18" thickBot="1" x14ac:dyDescent="0.45">
      <c r="B28" s="28"/>
      <c r="C28" s="29"/>
      <c r="D28" s="30"/>
      <c r="E28" s="30"/>
      <c r="F28" s="30"/>
      <c r="G28" s="30"/>
      <c r="H28" s="30"/>
      <c r="I28" s="30"/>
      <c r="J28" s="31"/>
    </row>
    <row r="29" spans="2:10" ht="18" thickBot="1" x14ac:dyDescent="0.45">
      <c r="B29" s="9" t="s">
        <v>58</v>
      </c>
      <c r="C29" s="64" t="s">
        <v>98</v>
      </c>
      <c r="D29" s="19" t="s">
        <v>38</v>
      </c>
      <c r="E29" s="20" t="s">
        <v>14</v>
      </c>
      <c r="F29" s="5"/>
      <c r="G29" s="6"/>
      <c r="H29" s="7" t="s">
        <v>46</v>
      </c>
      <c r="I29" s="11"/>
      <c r="J29" s="8"/>
    </row>
    <row r="30" spans="2:10" x14ac:dyDescent="0.4">
      <c r="B30" s="14"/>
      <c r="C30" s="21"/>
      <c r="D30" s="22"/>
      <c r="E30" s="22"/>
      <c r="F30" s="22"/>
      <c r="G30" s="22"/>
      <c r="H30" s="22"/>
      <c r="I30" s="22"/>
      <c r="J30" s="23"/>
    </row>
    <row r="31" spans="2:10" x14ac:dyDescent="0.4">
      <c r="B31" s="14"/>
      <c r="C31" s="24"/>
      <c r="D31" s="25"/>
      <c r="E31" s="25"/>
      <c r="F31" s="25"/>
      <c r="G31" s="25"/>
      <c r="H31" s="25"/>
      <c r="I31" s="25"/>
      <c r="J31" s="26"/>
    </row>
    <row r="32" spans="2:10" x14ac:dyDescent="0.4">
      <c r="B32" s="14"/>
      <c r="C32" s="24"/>
      <c r="D32" s="25"/>
      <c r="E32" s="25"/>
      <c r="F32" s="25"/>
      <c r="G32" s="25"/>
      <c r="H32" s="25"/>
      <c r="I32" s="25"/>
      <c r="J32" s="26"/>
    </row>
    <row r="33" spans="2:10" x14ac:dyDescent="0.4">
      <c r="B33" s="14"/>
      <c r="C33" s="24"/>
      <c r="D33" s="25"/>
      <c r="E33" s="25"/>
      <c r="F33" s="25"/>
      <c r="G33" s="25"/>
      <c r="H33" s="25"/>
      <c r="I33" s="25"/>
      <c r="J33" s="26"/>
    </row>
    <row r="34" spans="2:10" x14ac:dyDescent="0.4">
      <c r="B34" s="14"/>
      <c r="C34" s="24"/>
      <c r="D34" s="25"/>
      <c r="E34" s="25"/>
      <c r="F34" s="25"/>
      <c r="G34" s="25"/>
      <c r="H34" s="25"/>
      <c r="I34" s="25"/>
      <c r="J34" s="26"/>
    </row>
    <row r="35" spans="2:10" x14ac:dyDescent="0.4">
      <c r="B35" s="27"/>
      <c r="C35" s="24"/>
      <c r="D35" s="25"/>
      <c r="E35" s="25"/>
      <c r="F35" s="25"/>
      <c r="G35" s="25"/>
      <c r="H35" s="25"/>
      <c r="I35" s="25"/>
      <c r="J35" s="26"/>
    </row>
    <row r="36" spans="2:10" x14ac:dyDescent="0.4">
      <c r="B36" s="27"/>
      <c r="C36" s="24"/>
      <c r="D36" s="25"/>
      <c r="E36" s="25"/>
      <c r="F36" s="25"/>
      <c r="G36" s="25"/>
      <c r="H36" s="25"/>
      <c r="I36" s="25"/>
      <c r="J36" s="26"/>
    </row>
    <row r="37" spans="2:10" ht="18" thickBot="1" x14ac:dyDescent="0.45">
      <c r="B37" s="28"/>
      <c r="C37" s="29"/>
      <c r="D37" s="30"/>
      <c r="E37" s="30"/>
      <c r="F37" s="30"/>
      <c r="G37" s="30"/>
      <c r="H37" s="30"/>
      <c r="I37" s="30"/>
      <c r="J37" s="31"/>
    </row>
    <row r="38" spans="2:10" ht="18" thickBot="1" x14ac:dyDescent="0.45">
      <c r="B38" s="4" t="s">
        <v>177</v>
      </c>
      <c r="C38" s="10"/>
      <c r="D38" s="57"/>
      <c r="E38" s="7" t="s">
        <v>134</v>
      </c>
      <c r="F38" s="55"/>
      <c r="G38" s="57"/>
      <c r="H38" s="7" t="s">
        <v>132</v>
      </c>
      <c r="I38" s="57"/>
      <c r="J38" s="8"/>
    </row>
    <row r="39" spans="2:10" ht="18" thickBot="1" x14ac:dyDescent="0.45">
      <c r="B39" s="4" t="s">
        <v>178</v>
      </c>
      <c r="C39" s="73"/>
      <c r="D39" s="57"/>
      <c r="E39" s="7" t="s">
        <v>134</v>
      </c>
      <c r="F39" s="55"/>
      <c r="G39" s="57"/>
      <c r="H39" s="7" t="s">
        <v>132</v>
      </c>
      <c r="I39" s="57"/>
      <c r="J39" s="8"/>
    </row>
    <row r="40" spans="2:10" x14ac:dyDescent="0.4">
      <c r="B40" s="32" t="s">
        <v>15</v>
      </c>
      <c r="C40" s="33"/>
      <c r="D40" s="34"/>
      <c r="E40" s="35"/>
      <c r="F40" s="36"/>
      <c r="G40" s="36"/>
      <c r="H40" s="36"/>
      <c r="I40" s="36"/>
      <c r="J40" s="37"/>
    </row>
    <row r="41" spans="2:10" x14ac:dyDescent="0.4">
      <c r="B41" s="27"/>
      <c r="C41" s="38"/>
      <c r="D41" s="60"/>
      <c r="E41" s="61"/>
      <c r="F41" s="25"/>
      <c r="G41" s="25"/>
      <c r="H41" s="25"/>
      <c r="I41" s="25"/>
      <c r="J41" s="26"/>
    </row>
    <row r="42" spans="2:10" x14ac:dyDescent="0.4">
      <c r="B42" s="27"/>
      <c r="C42" s="38"/>
      <c r="D42" s="39"/>
      <c r="E42" s="40"/>
      <c r="F42" s="41"/>
      <c r="G42" s="41"/>
      <c r="H42" s="41"/>
      <c r="I42" s="41"/>
      <c r="J42" s="42"/>
    </row>
    <row r="43" spans="2:10" x14ac:dyDescent="0.4">
      <c r="B43" s="27"/>
      <c r="C43" s="38"/>
      <c r="D43" s="60"/>
      <c r="E43" s="61"/>
      <c r="F43" s="25"/>
      <c r="G43" s="25"/>
      <c r="H43" s="25"/>
      <c r="I43" s="25"/>
      <c r="J43" s="26"/>
    </row>
    <row r="44" spans="2:10" ht="18" thickBot="1" x14ac:dyDescent="0.45">
      <c r="B44" s="28"/>
      <c r="C44" s="43"/>
      <c r="D44" s="62"/>
      <c r="E44" s="63"/>
      <c r="F44" s="30"/>
      <c r="G44" s="30"/>
      <c r="H44" s="30"/>
      <c r="I44" s="30"/>
      <c r="J44" s="31"/>
    </row>
    <row r="47" spans="2:10" ht="18" hidden="1" thickBot="1" x14ac:dyDescent="0.45">
      <c r="B47" s="9" t="s">
        <v>58</v>
      </c>
      <c r="C47" s="64" t="s">
        <v>98</v>
      </c>
      <c r="D47" s="19" t="s">
        <v>115</v>
      </c>
      <c r="E47" s="20" t="s">
        <v>14</v>
      </c>
      <c r="F47" s="5">
        <v>45630</v>
      </c>
      <c r="G47" s="6"/>
      <c r="H47" s="7" t="s">
        <v>123</v>
      </c>
      <c r="I47" s="11"/>
      <c r="J47" s="8"/>
    </row>
    <row r="48" spans="2:10" hidden="1" x14ac:dyDescent="0.4">
      <c r="B48" s="14"/>
      <c r="C48" s="21"/>
      <c r="D48" s="22"/>
      <c r="E48" s="22"/>
      <c r="F48" s="22"/>
      <c r="G48" s="22"/>
      <c r="H48" s="22"/>
      <c r="I48" s="22"/>
      <c r="J48" s="23"/>
    </row>
    <row r="49" spans="2:10" hidden="1" x14ac:dyDescent="0.4">
      <c r="B49" s="14"/>
      <c r="C49" s="24"/>
      <c r="D49" s="25"/>
      <c r="E49" s="25"/>
      <c r="F49" s="25"/>
      <c r="G49" s="25"/>
      <c r="H49" s="25"/>
      <c r="I49" s="25"/>
      <c r="J49" s="26"/>
    </row>
    <row r="50" spans="2:10" hidden="1" x14ac:dyDescent="0.4">
      <c r="B50" s="14"/>
      <c r="C50" s="24"/>
      <c r="D50" s="25"/>
      <c r="E50" s="25"/>
      <c r="F50" s="25"/>
      <c r="G50" s="25"/>
      <c r="H50" s="25"/>
      <c r="I50" s="25"/>
      <c r="J50" s="26"/>
    </row>
    <row r="51" spans="2:10" ht="18" hidden="1" thickBot="1" x14ac:dyDescent="0.45">
      <c r="B51" s="28"/>
      <c r="C51" s="29"/>
      <c r="D51" s="30"/>
      <c r="E51" s="30"/>
      <c r="F51" s="30"/>
      <c r="G51" s="30"/>
      <c r="H51" s="30"/>
      <c r="I51" s="30"/>
      <c r="J51" s="31"/>
    </row>
    <row r="52" spans="2:10" ht="18" hidden="1" thickBot="1" x14ac:dyDescent="0.45">
      <c r="B52" s="4" t="s">
        <v>13</v>
      </c>
      <c r="C52" s="66"/>
      <c r="D52" s="11"/>
      <c r="E52" s="11"/>
      <c r="F52" s="11"/>
      <c r="G52" s="11"/>
      <c r="H52" s="11"/>
      <c r="I52" s="11"/>
      <c r="J52" s="8"/>
    </row>
    <row r="53" spans="2:10" ht="18" hidden="1" thickBot="1" x14ac:dyDescent="0.45">
      <c r="B53" s="9" t="s">
        <v>58</v>
      </c>
      <c r="C53" s="64" t="s">
        <v>98</v>
      </c>
      <c r="D53" s="19" t="s">
        <v>115</v>
      </c>
      <c r="E53" s="20" t="s">
        <v>14</v>
      </c>
      <c r="F53" s="5">
        <v>45630</v>
      </c>
      <c r="G53" s="6"/>
      <c r="H53" s="7" t="s">
        <v>116</v>
      </c>
      <c r="I53" s="11"/>
      <c r="J53" s="8"/>
    </row>
    <row r="54" spans="2:10" hidden="1" x14ac:dyDescent="0.4">
      <c r="B54" s="14"/>
      <c r="C54" s="21"/>
      <c r="D54" s="22"/>
      <c r="E54" s="22"/>
      <c r="F54" s="22"/>
      <c r="G54" s="22"/>
      <c r="H54" s="22"/>
      <c r="I54" s="22"/>
      <c r="J54" s="23"/>
    </row>
    <row r="55" spans="2:10" hidden="1" x14ac:dyDescent="0.4">
      <c r="B55" s="14"/>
      <c r="C55" s="24"/>
      <c r="D55" s="25"/>
      <c r="E55" s="25"/>
      <c r="F55" s="25"/>
      <c r="G55" s="25"/>
      <c r="H55" s="25"/>
      <c r="I55" s="25"/>
      <c r="J55" s="26"/>
    </row>
    <row r="56" spans="2:10" hidden="1" x14ac:dyDescent="0.4">
      <c r="B56" s="14"/>
      <c r="C56" s="24"/>
      <c r="D56" s="25"/>
      <c r="E56" s="25"/>
      <c r="F56" s="25"/>
      <c r="G56" s="25"/>
      <c r="H56" s="25"/>
      <c r="I56" s="25"/>
      <c r="J56" s="26"/>
    </row>
    <row r="57" spans="2:10" hidden="1" x14ac:dyDescent="0.4">
      <c r="B57" s="14"/>
      <c r="C57" s="24"/>
      <c r="D57" s="25"/>
      <c r="E57" s="25"/>
      <c r="F57" s="25"/>
      <c r="G57" s="25"/>
      <c r="H57" s="25"/>
      <c r="I57" s="25"/>
      <c r="J57" s="26"/>
    </row>
    <row r="58" spans="2:10" hidden="1" x14ac:dyDescent="0.4">
      <c r="B58" s="14"/>
      <c r="C58" s="24"/>
      <c r="D58" s="25"/>
      <c r="E58" s="25"/>
      <c r="F58" s="25"/>
      <c r="G58" s="25"/>
      <c r="H58" s="25"/>
      <c r="I58" s="25"/>
      <c r="J58" s="26"/>
    </row>
    <row r="59" spans="2:10" hidden="1" x14ac:dyDescent="0.4">
      <c r="B59" s="14"/>
      <c r="C59" s="24"/>
      <c r="D59" s="25"/>
      <c r="E59" s="25"/>
      <c r="F59" s="25"/>
      <c r="G59" s="25"/>
      <c r="H59" s="25"/>
      <c r="I59" s="25"/>
      <c r="J59" s="26"/>
    </row>
    <row r="60" spans="2:10" hidden="1" x14ac:dyDescent="0.4">
      <c r="B60" s="14"/>
      <c r="C60" s="24"/>
      <c r="D60" s="25"/>
      <c r="E60" s="25"/>
      <c r="F60" s="25"/>
      <c r="G60" s="25"/>
      <c r="H60" s="25"/>
      <c r="I60" s="25"/>
      <c r="J60" s="26"/>
    </row>
    <row r="61" spans="2:10" ht="18" hidden="1" thickBot="1" x14ac:dyDescent="0.45">
      <c r="B61" s="28"/>
      <c r="C61" s="29"/>
      <c r="D61" s="30"/>
      <c r="E61" s="30"/>
      <c r="F61" s="30"/>
      <c r="G61" s="30"/>
      <c r="H61" s="30"/>
      <c r="I61" s="30"/>
      <c r="J61" s="3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1D7628B9-B6DE-48C7-8F09-AC37995420B5}">
          <x14:formula1>
            <xm:f>콤보박스!$B$78:$B$96</xm:f>
          </x14:formula1>
          <xm:sqref>F6 F39</xm:sqref>
        </x14:dataValidation>
        <x14:dataValidation type="list" allowBlank="1" showInputMessage="1" showErrorMessage="1" xr:uid="{256BDA2D-531C-4176-B567-396A4FD53D5E}">
          <x14:formula1>
            <xm:f>콤보박스!$B$69:$B$76</xm:f>
          </x14:formula1>
          <xm:sqref>C6 C39</xm:sqref>
        </x14:dataValidation>
        <x14:dataValidation type="list" allowBlank="1" showInputMessage="1" showErrorMessage="1" xr:uid="{8DD9F31A-7F59-49B7-9062-24AB7D28EE2E}">
          <x14:formula1>
            <xm:f>콤보박스!$B$23:$B$58</xm:f>
          </x14:formula1>
          <xm:sqref>F5 F38</xm:sqref>
        </x14:dataValidation>
        <x14:dataValidation type="list" allowBlank="1" showInputMessage="1" showErrorMessage="1" xr:uid="{DE9177FE-987D-4543-AF5C-AF305ED198CE}">
          <x14:formula1>
            <xm:f>콤보박스!$B$11:$B$20</xm:f>
          </x14:formula1>
          <xm:sqref>C5 C38</xm:sqref>
        </x14:dataValidation>
        <x14:dataValidation type="list" allowBlank="1" showInputMessage="1" showErrorMessage="1" xr:uid="{5D88F99E-2A21-4290-BC08-5B0B312FD71F}">
          <x14:formula1>
            <xm:f>콤보박스!$D$11:$D$13</xm:f>
          </x14:formula1>
          <xm:sqref>C3</xm:sqref>
        </x14:dataValidation>
        <x14:dataValidation type="list" allowBlank="1" showInputMessage="1" showErrorMessage="1" xr:uid="{76558612-BD0F-4FF0-9F57-293FF0FD2BAF}">
          <x14:formula1>
            <xm:f>콤보박스!$B$3:$B$9</xm:f>
          </x14:formula1>
          <xm:sqref>I3 F13</xm:sqref>
        </x14:dataValidation>
        <x14:dataValidation type="list" allowBlank="1" showInputMessage="1" showErrorMessage="1" xr:uid="{B8A17B0C-BCBD-40B2-BFAA-696DEE1F2AB8}">
          <x14:formula1>
            <xm:f>콤보박스!$D$15:$D$19</xm:f>
          </x14:formula1>
          <xm:sqref>C40:C44</xm:sqref>
        </x14:dataValidation>
        <x14:dataValidation type="list" allowBlank="1" showInputMessage="1" showErrorMessage="1" xr:uid="{C0E2426B-F7DA-4E31-84D7-7EA7DD047785}">
          <x14:formula1>
            <xm:f>콤보박스!$D$2:$D$9</xm:f>
          </x14:formula1>
          <xm:sqref>D29 D20 D47 D53</xm:sqref>
        </x14:dataValidation>
        <x14:dataValidation type="list" allowBlank="1" showInputMessage="1" showErrorMessage="1" xr:uid="{A51619A3-9590-41AC-879B-8E3BB0DB77BF}">
          <x14:formula1>
            <xm:f>콤보박스!$D$23:$D$27</xm:f>
          </x14:formula1>
          <xm:sqref>D40:D43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F4F13-8408-4342-AB40-C0A435A1100D}">
  <dimension ref="B1:J66"/>
  <sheetViews>
    <sheetView workbookViewId="0">
      <selection activeCell="K9" sqref="K9"/>
    </sheetView>
  </sheetViews>
  <sheetFormatPr defaultRowHeight="17.399999999999999" x14ac:dyDescent="0.4"/>
  <cols>
    <col min="2" max="10" width="18.69921875" customWidth="1"/>
  </cols>
  <sheetData>
    <row r="1" spans="2:10" ht="18" thickBot="1" x14ac:dyDescent="0.45"/>
    <row r="2" spans="2:10" ht="18" thickBot="1" x14ac:dyDescent="0.45">
      <c r="B2" s="4" t="s">
        <v>12</v>
      </c>
      <c r="C2" s="69"/>
      <c r="D2" s="56"/>
      <c r="E2" s="7" t="s">
        <v>127</v>
      </c>
      <c r="F2" s="69"/>
      <c r="G2" s="69"/>
      <c r="H2" s="7" t="s">
        <v>122</v>
      </c>
      <c r="I2" s="57"/>
      <c r="J2" s="8"/>
    </row>
    <row r="3" spans="2:10" ht="18" thickBot="1" x14ac:dyDescent="0.45">
      <c r="B3" s="4" t="s">
        <v>94</v>
      </c>
      <c r="C3" s="52" t="s">
        <v>6</v>
      </c>
      <c r="D3" s="70"/>
      <c r="E3" s="7" t="s">
        <v>43</v>
      </c>
      <c r="F3" s="53"/>
      <c r="G3" s="70"/>
      <c r="H3" s="7" t="s">
        <v>7</v>
      </c>
      <c r="I3" s="75" t="s">
        <v>8</v>
      </c>
      <c r="J3" s="54"/>
    </row>
    <row r="4" spans="2:10" ht="18" thickBot="1" x14ac:dyDescent="0.45">
      <c r="B4" s="4" t="s">
        <v>167</v>
      </c>
      <c r="C4" s="69"/>
      <c r="D4" s="11"/>
      <c r="E4" s="7" t="s">
        <v>168</v>
      </c>
      <c r="F4" s="69"/>
      <c r="G4" s="11"/>
      <c r="H4" s="7" t="s">
        <v>47</v>
      </c>
      <c r="I4" s="11"/>
      <c r="J4" s="58"/>
    </row>
    <row r="5" spans="2:10" ht="18" thickBot="1" x14ac:dyDescent="0.45">
      <c r="B5" s="4" t="s">
        <v>177</v>
      </c>
      <c r="C5" s="72"/>
      <c r="D5" s="70"/>
      <c r="E5" s="7" t="s">
        <v>134</v>
      </c>
      <c r="F5" s="68"/>
      <c r="G5" s="70"/>
      <c r="H5" s="7" t="s">
        <v>132</v>
      </c>
      <c r="I5" s="70"/>
      <c r="J5" s="54"/>
    </row>
    <row r="6" spans="2:10" ht="18" thickBot="1" x14ac:dyDescent="0.45">
      <c r="B6" s="4" t="s">
        <v>178</v>
      </c>
      <c r="C6" s="67"/>
      <c r="D6" s="70"/>
      <c r="E6" s="7" t="s">
        <v>134</v>
      </c>
      <c r="F6" s="68"/>
      <c r="G6" s="70"/>
      <c r="H6" s="7" t="s">
        <v>132</v>
      </c>
      <c r="I6" s="70"/>
      <c r="J6" s="54"/>
    </row>
    <row r="7" spans="2:10" ht="18" thickBot="1" x14ac:dyDescent="0.45">
      <c r="B7" s="4" t="s">
        <v>10</v>
      </c>
      <c r="C7" s="57"/>
      <c r="D7" s="57"/>
      <c r="E7" s="57"/>
      <c r="F7" s="57"/>
      <c r="G7" s="57"/>
      <c r="H7" s="57"/>
      <c r="I7" s="57"/>
      <c r="J7" s="58"/>
    </row>
    <row r="9" spans="2:10" ht="18" thickBot="1" x14ac:dyDescent="0.45"/>
    <row r="10" spans="2:10" ht="18" thickBot="1" x14ac:dyDescent="0.45">
      <c r="B10" s="4" t="s">
        <v>12</v>
      </c>
      <c r="C10" s="69">
        <f>$C$2</f>
        <v>0</v>
      </c>
      <c r="D10" s="11"/>
      <c r="E10" s="7" t="s">
        <v>7</v>
      </c>
      <c r="F10" s="74" t="s">
        <v>8</v>
      </c>
      <c r="G10" s="8"/>
      <c r="H10" s="7" t="s">
        <v>94</v>
      </c>
      <c r="I10" s="11" t="str">
        <f>$C$3</f>
        <v>낮음</v>
      </c>
      <c r="J10" s="8"/>
    </row>
    <row r="11" spans="2:10" ht="18" thickBot="1" x14ac:dyDescent="0.45">
      <c r="B11" s="4" t="s">
        <v>43</v>
      </c>
      <c r="C11" s="53">
        <f>$F$3</f>
        <v>0</v>
      </c>
      <c r="D11" s="7" t="s">
        <v>167</v>
      </c>
      <c r="E11" s="53">
        <f>$C$4</f>
        <v>0</v>
      </c>
      <c r="F11" s="7" t="s">
        <v>168</v>
      </c>
      <c r="G11" s="53">
        <f>$F$4</f>
        <v>0</v>
      </c>
      <c r="H11" s="7" t="s">
        <v>122</v>
      </c>
      <c r="I11" s="70">
        <f>$I$2</f>
        <v>0</v>
      </c>
      <c r="J11" s="54"/>
    </row>
    <row r="12" spans="2:10" ht="18" thickBot="1" x14ac:dyDescent="0.45">
      <c r="B12" s="4" t="s">
        <v>10</v>
      </c>
      <c r="C12" s="57">
        <f>$C$7</f>
        <v>0</v>
      </c>
      <c r="D12" s="11"/>
      <c r="E12" s="11"/>
      <c r="F12" s="11"/>
      <c r="G12" s="11"/>
      <c r="H12" s="11"/>
      <c r="I12" s="11"/>
      <c r="J12" s="8"/>
    </row>
    <row r="13" spans="2:10" x14ac:dyDescent="0.4">
      <c r="B13" s="9" t="s">
        <v>11</v>
      </c>
      <c r="C13" s="21"/>
      <c r="D13" s="12"/>
      <c r="E13" s="12"/>
      <c r="F13" s="12"/>
      <c r="G13" s="12"/>
      <c r="H13" s="12"/>
      <c r="I13" s="12"/>
      <c r="J13" s="13"/>
    </row>
    <row r="14" spans="2:10" x14ac:dyDescent="0.4">
      <c r="B14" s="14"/>
      <c r="C14" s="25"/>
      <c r="D14" s="51"/>
      <c r="E14" s="51"/>
      <c r="F14" s="51"/>
      <c r="G14" s="51"/>
      <c r="H14" s="51"/>
      <c r="I14" s="51"/>
      <c r="J14" s="15"/>
    </row>
    <row r="15" spans="2:10" ht="18" thickBot="1" x14ac:dyDescent="0.45">
      <c r="B15" s="16"/>
      <c r="C15" s="17"/>
      <c r="D15" s="17"/>
      <c r="E15" s="17"/>
      <c r="F15" s="17"/>
      <c r="G15" s="17"/>
      <c r="H15" s="17"/>
      <c r="I15" s="17"/>
      <c r="J15" s="18"/>
    </row>
    <row r="16" spans="2:10" ht="18" thickBot="1" x14ac:dyDescent="0.45">
      <c r="B16" s="4" t="s">
        <v>13</v>
      </c>
      <c r="C16" s="11"/>
      <c r="D16" s="11"/>
      <c r="E16" s="11"/>
      <c r="F16" s="11"/>
      <c r="G16" s="11"/>
      <c r="H16" s="11"/>
      <c r="I16" s="11"/>
      <c r="J16" s="8"/>
    </row>
    <row r="17" spans="2:10" ht="18" thickBot="1" x14ac:dyDescent="0.45"/>
    <row r="18" spans="2:10" ht="18" thickBot="1" x14ac:dyDescent="0.45">
      <c r="B18" s="4" t="s">
        <v>0</v>
      </c>
      <c r="C18" s="69">
        <f>$F$2</f>
        <v>0</v>
      </c>
      <c r="D18" s="11"/>
      <c r="E18" s="7" t="s">
        <v>7</v>
      </c>
      <c r="F18" s="74" t="s">
        <v>8</v>
      </c>
      <c r="G18" s="8"/>
      <c r="H18" s="7" t="s">
        <v>111</v>
      </c>
      <c r="I18" s="11"/>
      <c r="J18" s="8"/>
    </row>
    <row r="19" spans="2:10" ht="18" thickBot="1" x14ac:dyDescent="0.45">
      <c r="B19" s="4" t="s">
        <v>44</v>
      </c>
      <c r="C19" s="53"/>
      <c r="D19" s="52"/>
      <c r="E19" s="7" t="s">
        <v>45</v>
      </c>
      <c r="F19" s="53"/>
      <c r="G19" s="52"/>
      <c r="H19" s="7" t="s">
        <v>46</v>
      </c>
      <c r="I19" s="71"/>
      <c r="J19" s="54"/>
    </row>
    <row r="20" spans="2:10" ht="18" thickBot="1" x14ac:dyDescent="0.45">
      <c r="B20" s="4" t="s">
        <v>10</v>
      </c>
      <c r="C20" s="57" t="s">
        <v>121</v>
      </c>
      <c r="D20" s="57"/>
      <c r="E20" s="57"/>
      <c r="F20" s="57"/>
      <c r="G20" s="57"/>
      <c r="H20" s="59"/>
      <c r="I20" s="57"/>
      <c r="J20" s="58"/>
    </row>
    <row r="21" spans="2:10" x14ac:dyDescent="0.4">
      <c r="B21" s="9" t="s">
        <v>11</v>
      </c>
      <c r="C21" s="21"/>
      <c r="D21" s="12"/>
      <c r="E21" s="12"/>
      <c r="F21" s="12"/>
      <c r="G21" s="12"/>
      <c r="H21" s="12"/>
      <c r="I21" s="12"/>
      <c r="J21" s="13"/>
    </row>
    <row r="22" spans="2:10" x14ac:dyDescent="0.4">
      <c r="B22" s="14"/>
      <c r="C22" s="25"/>
      <c r="D22" s="51"/>
      <c r="E22" s="51"/>
      <c r="F22" s="51"/>
      <c r="G22" s="51"/>
      <c r="H22" s="51"/>
      <c r="I22" s="51"/>
      <c r="J22" s="15"/>
    </row>
    <row r="23" spans="2:10" ht="18" thickBot="1" x14ac:dyDescent="0.45">
      <c r="B23" s="16"/>
      <c r="C23" s="17"/>
      <c r="D23" s="17"/>
      <c r="E23" s="51"/>
      <c r="F23" s="51"/>
      <c r="G23" s="51"/>
      <c r="H23" s="51"/>
      <c r="I23" s="51"/>
      <c r="J23" s="15"/>
    </row>
    <row r="24" spans="2:10" ht="18" thickBot="1" x14ac:dyDescent="0.45">
      <c r="B24" s="4" t="s">
        <v>13</v>
      </c>
      <c r="C24" s="11"/>
      <c r="D24" s="11"/>
      <c r="E24" s="11"/>
      <c r="F24" s="11"/>
      <c r="G24" s="11"/>
      <c r="H24" s="11"/>
      <c r="I24" s="11"/>
      <c r="J24" s="8"/>
    </row>
    <row r="25" spans="2:10" ht="18" thickBot="1" x14ac:dyDescent="0.45">
      <c r="B25" s="9" t="s">
        <v>58</v>
      </c>
      <c r="C25" s="64" t="s">
        <v>98</v>
      </c>
      <c r="D25" s="19" t="s">
        <v>113</v>
      </c>
      <c r="E25" s="20" t="s">
        <v>14</v>
      </c>
      <c r="F25" s="5"/>
      <c r="G25" s="6"/>
      <c r="H25" s="7" t="s">
        <v>46</v>
      </c>
      <c r="I25" s="11"/>
      <c r="J25" s="8"/>
    </row>
    <row r="26" spans="2:10" x14ac:dyDescent="0.4">
      <c r="B26" s="14"/>
      <c r="C26" s="21"/>
      <c r="D26" s="22"/>
      <c r="E26" s="22"/>
      <c r="F26" s="22"/>
      <c r="G26" s="22"/>
      <c r="H26" s="22"/>
      <c r="I26" s="22"/>
      <c r="J26" s="23"/>
    </row>
    <row r="27" spans="2:10" x14ac:dyDescent="0.4">
      <c r="B27" s="14"/>
      <c r="C27" s="24"/>
      <c r="D27" s="25"/>
      <c r="E27" s="25"/>
      <c r="F27" s="25"/>
      <c r="G27" s="25"/>
      <c r="H27" s="25"/>
      <c r="I27" s="25"/>
      <c r="J27" s="26"/>
    </row>
    <row r="28" spans="2:10" x14ac:dyDescent="0.4">
      <c r="B28" s="14"/>
      <c r="C28" s="24"/>
      <c r="D28" s="25"/>
      <c r="E28" s="25"/>
      <c r="F28" s="25"/>
      <c r="G28" s="25"/>
      <c r="H28" s="25"/>
      <c r="I28" s="25"/>
      <c r="J28" s="26"/>
    </row>
    <row r="29" spans="2:10" x14ac:dyDescent="0.4">
      <c r="B29" s="14"/>
      <c r="C29" s="24"/>
      <c r="D29" s="25"/>
      <c r="E29" s="25"/>
      <c r="F29" s="25"/>
      <c r="G29" s="25"/>
      <c r="H29" s="25"/>
      <c r="I29" s="25"/>
      <c r="J29" s="26"/>
    </row>
    <row r="30" spans="2:10" x14ac:dyDescent="0.4">
      <c r="B30" s="14"/>
      <c r="C30" s="24"/>
      <c r="D30" s="25"/>
      <c r="E30" s="25"/>
      <c r="F30" s="25"/>
      <c r="G30" s="25"/>
      <c r="H30" s="25"/>
      <c r="I30" s="25"/>
      <c r="J30" s="26"/>
    </row>
    <row r="31" spans="2:10" x14ac:dyDescent="0.4">
      <c r="B31" s="27"/>
      <c r="C31" s="24"/>
      <c r="D31" s="25"/>
      <c r="E31" s="25"/>
      <c r="F31" s="25"/>
      <c r="G31" s="25"/>
      <c r="H31" s="25"/>
      <c r="I31" s="25"/>
      <c r="J31" s="26"/>
    </row>
    <row r="32" spans="2:10" x14ac:dyDescent="0.4">
      <c r="B32" s="27"/>
      <c r="C32" s="24"/>
      <c r="D32" s="25"/>
      <c r="E32" s="25"/>
      <c r="F32" s="25"/>
      <c r="G32" s="25"/>
      <c r="H32" s="25"/>
      <c r="I32" s="25"/>
      <c r="J32" s="26"/>
    </row>
    <row r="33" spans="2:10" ht="18" thickBot="1" x14ac:dyDescent="0.45">
      <c r="B33" s="28"/>
      <c r="C33" s="29"/>
      <c r="D33" s="30"/>
      <c r="E33" s="30"/>
      <c r="F33" s="30"/>
      <c r="G33" s="30"/>
      <c r="H33" s="30"/>
      <c r="I33" s="30"/>
      <c r="J33" s="31"/>
    </row>
    <row r="34" spans="2:10" ht="18" thickBot="1" x14ac:dyDescent="0.45">
      <c r="B34" s="9" t="s">
        <v>58</v>
      </c>
      <c r="C34" s="64" t="s">
        <v>98</v>
      </c>
      <c r="D34" s="19" t="s">
        <v>38</v>
      </c>
      <c r="E34" s="20" t="s">
        <v>14</v>
      </c>
      <c r="F34" s="5"/>
      <c r="G34" s="6"/>
      <c r="H34" s="7" t="s">
        <v>46</v>
      </c>
      <c r="I34" s="11"/>
      <c r="J34" s="8"/>
    </row>
    <row r="35" spans="2:10" x14ac:dyDescent="0.4">
      <c r="B35" s="14"/>
      <c r="C35" s="21"/>
      <c r="D35" s="22"/>
      <c r="E35" s="22"/>
      <c r="F35" s="22"/>
      <c r="G35" s="22"/>
      <c r="H35" s="22"/>
      <c r="I35" s="22"/>
      <c r="J35" s="23"/>
    </row>
    <row r="36" spans="2:10" x14ac:dyDescent="0.4">
      <c r="B36" s="14"/>
      <c r="C36" s="24"/>
      <c r="D36" s="25"/>
      <c r="E36" s="25"/>
      <c r="F36" s="25"/>
      <c r="G36" s="25"/>
      <c r="H36" s="25"/>
      <c r="I36" s="25"/>
      <c r="J36" s="26"/>
    </row>
    <row r="37" spans="2:10" x14ac:dyDescent="0.4">
      <c r="B37" s="14"/>
      <c r="C37" s="24"/>
      <c r="D37" s="25"/>
      <c r="E37" s="25"/>
      <c r="F37" s="25"/>
      <c r="G37" s="25"/>
      <c r="H37" s="25"/>
      <c r="I37" s="25"/>
      <c r="J37" s="26"/>
    </row>
    <row r="38" spans="2:10" x14ac:dyDescent="0.4">
      <c r="B38" s="14"/>
      <c r="C38" s="24"/>
      <c r="D38" s="25"/>
      <c r="E38" s="25"/>
      <c r="F38" s="25"/>
      <c r="G38" s="25"/>
      <c r="H38" s="25"/>
      <c r="I38" s="25"/>
      <c r="J38" s="26"/>
    </row>
    <row r="39" spans="2:10" x14ac:dyDescent="0.4">
      <c r="B39" s="14"/>
      <c r="C39" s="24"/>
      <c r="D39" s="25"/>
      <c r="E39" s="25"/>
      <c r="F39" s="25"/>
      <c r="G39" s="25"/>
      <c r="H39" s="25"/>
      <c r="I39" s="25"/>
      <c r="J39" s="26"/>
    </row>
    <row r="40" spans="2:10" x14ac:dyDescent="0.4">
      <c r="B40" s="27"/>
      <c r="C40" s="24"/>
      <c r="D40" s="25"/>
      <c r="E40" s="25"/>
      <c r="F40" s="25"/>
      <c r="G40" s="25"/>
      <c r="H40" s="25"/>
      <c r="I40" s="25"/>
      <c r="J40" s="26"/>
    </row>
    <row r="41" spans="2:10" x14ac:dyDescent="0.4">
      <c r="B41" s="27"/>
      <c r="C41" s="24"/>
      <c r="D41" s="25"/>
      <c r="E41" s="25"/>
      <c r="F41" s="25"/>
      <c r="G41" s="25"/>
      <c r="H41" s="25"/>
      <c r="I41" s="25"/>
      <c r="J41" s="26"/>
    </row>
    <row r="42" spans="2:10" ht="18" thickBot="1" x14ac:dyDescent="0.45">
      <c r="B42" s="28"/>
      <c r="C42" s="29"/>
      <c r="D42" s="30"/>
      <c r="E42" s="30"/>
      <c r="F42" s="30"/>
      <c r="G42" s="30"/>
      <c r="H42" s="30"/>
      <c r="I42" s="30"/>
      <c r="J42" s="31"/>
    </row>
    <row r="43" spans="2:10" ht="18" thickBot="1" x14ac:dyDescent="0.45">
      <c r="B43" s="4" t="s">
        <v>177</v>
      </c>
      <c r="C43" s="10"/>
      <c r="D43" s="57"/>
      <c r="E43" s="7" t="s">
        <v>134</v>
      </c>
      <c r="F43" s="55"/>
      <c r="G43" s="57"/>
      <c r="H43" s="7" t="s">
        <v>132</v>
      </c>
      <c r="I43" s="57"/>
      <c r="J43" s="8"/>
    </row>
    <row r="44" spans="2:10" ht="18" thickBot="1" x14ac:dyDescent="0.45">
      <c r="B44" s="4" t="s">
        <v>178</v>
      </c>
      <c r="C44" s="73"/>
      <c r="D44" s="57"/>
      <c r="E44" s="7" t="s">
        <v>134</v>
      </c>
      <c r="F44" s="55"/>
      <c r="G44" s="57"/>
      <c r="H44" s="7" t="s">
        <v>132</v>
      </c>
      <c r="I44" s="57"/>
      <c r="J44" s="8"/>
    </row>
    <row r="45" spans="2:10" x14ac:dyDescent="0.4">
      <c r="B45" s="32" t="s">
        <v>15</v>
      </c>
      <c r="C45" s="33"/>
      <c r="D45" s="34"/>
      <c r="E45" s="35"/>
      <c r="F45" s="36"/>
      <c r="G45" s="36"/>
      <c r="H45" s="36"/>
      <c r="I45" s="36"/>
      <c r="J45" s="37"/>
    </row>
    <row r="46" spans="2:10" x14ac:dyDescent="0.4">
      <c r="B46" s="27"/>
      <c r="C46" s="38"/>
      <c r="D46" s="60"/>
      <c r="E46" s="61"/>
      <c r="F46" s="25"/>
      <c r="G46" s="25"/>
      <c r="H46" s="25"/>
      <c r="I46" s="25"/>
      <c r="J46" s="26"/>
    </row>
    <row r="47" spans="2:10" x14ac:dyDescent="0.4">
      <c r="B47" s="27"/>
      <c r="C47" s="38"/>
      <c r="D47" s="39"/>
      <c r="E47" s="40"/>
      <c r="F47" s="41"/>
      <c r="G47" s="41"/>
      <c r="H47" s="41"/>
      <c r="I47" s="41"/>
      <c r="J47" s="42"/>
    </row>
    <row r="48" spans="2:10" x14ac:dyDescent="0.4">
      <c r="B48" s="27"/>
      <c r="C48" s="38"/>
      <c r="D48" s="60"/>
      <c r="E48" s="61"/>
      <c r="F48" s="25"/>
      <c r="G48" s="25"/>
      <c r="H48" s="25"/>
      <c r="I48" s="25"/>
      <c r="J48" s="26"/>
    </row>
    <row r="49" spans="2:10" ht="18" thickBot="1" x14ac:dyDescent="0.45">
      <c r="B49" s="28"/>
      <c r="C49" s="43"/>
      <c r="D49" s="62"/>
      <c r="E49" s="63"/>
      <c r="F49" s="30"/>
      <c r="G49" s="30"/>
      <c r="H49" s="30"/>
      <c r="I49" s="30"/>
      <c r="J49" s="31"/>
    </row>
    <row r="52" spans="2:10" ht="18" hidden="1" thickBot="1" x14ac:dyDescent="0.45">
      <c r="B52" s="9" t="s">
        <v>58</v>
      </c>
      <c r="C52" s="64" t="s">
        <v>98</v>
      </c>
      <c r="D52" s="19" t="s">
        <v>115</v>
      </c>
      <c r="E52" s="20" t="s">
        <v>14</v>
      </c>
      <c r="F52" s="5">
        <v>45630</v>
      </c>
      <c r="G52" s="6"/>
      <c r="H52" s="7" t="s">
        <v>123</v>
      </c>
      <c r="I52" s="11"/>
      <c r="J52" s="8"/>
    </row>
    <row r="53" spans="2:10" hidden="1" x14ac:dyDescent="0.4">
      <c r="B53" s="14"/>
      <c r="C53" s="21"/>
      <c r="D53" s="22"/>
      <c r="E53" s="22"/>
      <c r="F53" s="22"/>
      <c r="G53" s="22"/>
      <c r="H53" s="22"/>
      <c r="I53" s="22"/>
      <c r="J53" s="23"/>
    </row>
    <row r="54" spans="2:10" hidden="1" x14ac:dyDescent="0.4">
      <c r="B54" s="14"/>
      <c r="C54" s="24"/>
      <c r="D54" s="25"/>
      <c r="E54" s="25"/>
      <c r="F54" s="25"/>
      <c r="G54" s="25"/>
      <c r="H54" s="25"/>
      <c r="I54" s="25"/>
      <c r="J54" s="26"/>
    </row>
    <row r="55" spans="2:10" hidden="1" x14ac:dyDescent="0.4">
      <c r="B55" s="14"/>
      <c r="C55" s="24"/>
      <c r="D55" s="25"/>
      <c r="E55" s="25"/>
      <c r="F55" s="25"/>
      <c r="G55" s="25"/>
      <c r="H55" s="25"/>
      <c r="I55" s="25"/>
      <c r="J55" s="26"/>
    </row>
    <row r="56" spans="2:10" ht="18" hidden="1" thickBot="1" x14ac:dyDescent="0.45">
      <c r="B56" s="28"/>
      <c r="C56" s="29"/>
      <c r="D56" s="30"/>
      <c r="E56" s="30"/>
      <c r="F56" s="30"/>
      <c r="G56" s="30"/>
      <c r="H56" s="30"/>
      <c r="I56" s="30"/>
      <c r="J56" s="31"/>
    </row>
    <row r="57" spans="2:10" ht="18" hidden="1" thickBot="1" x14ac:dyDescent="0.45">
      <c r="B57" s="4" t="s">
        <v>13</v>
      </c>
      <c r="C57" s="66"/>
      <c r="D57" s="11"/>
      <c r="E57" s="11"/>
      <c r="F57" s="11"/>
      <c r="G57" s="11"/>
      <c r="H57" s="11"/>
      <c r="I57" s="11"/>
      <c r="J57" s="8"/>
    </row>
    <row r="58" spans="2:10" ht="18" hidden="1" thickBot="1" x14ac:dyDescent="0.45">
      <c r="B58" s="9" t="s">
        <v>58</v>
      </c>
      <c r="C58" s="64" t="s">
        <v>98</v>
      </c>
      <c r="D58" s="19" t="s">
        <v>115</v>
      </c>
      <c r="E58" s="20" t="s">
        <v>14</v>
      </c>
      <c r="F58" s="5">
        <v>45630</v>
      </c>
      <c r="G58" s="6"/>
      <c r="H58" s="7" t="s">
        <v>116</v>
      </c>
      <c r="I58" s="11"/>
      <c r="J58" s="8"/>
    </row>
    <row r="59" spans="2:10" hidden="1" x14ac:dyDescent="0.4">
      <c r="B59" s="14"/>
      <c r="C59" s="21"/>
      <c r="D59" s="22"/>
      <c r="E59" s="22"/>
      <c r="F59" s="22"/>
      <c r="G59" s="22"/>
      <c r="H59" s="22"/>
      <c r="I59" s="22"/>
      <c r="J59" s="23"/>
    </row>
    <row r="60" spans="2:10" hidden="1" x14ac:dyDescent="0.4">
      <c r="B60" s="14"/>
      <c r="C60" s="24"/>
      <c r="D60" s="25"/>
      <c r="E60" s="25"/>
      <c r="F60" s="25"/>
      <c r="G60" s="25"/>
      <c r="H60" s="25"/>
      <c r="I60" s="25"/>
      <c r="J60" s="26"/>
    </row>
    <row r="61" spans="2:10" hidden="1" x14ac:dyDescent="0.4">
      <c r="B61" s="14"/>
      <c r="C61" s="24"/>
      <c r="D61" s="25"/>
      <c r="E61" s="25"/>
      <c r="F61" s="25"/>
      <c r="G61" s="25"/>
      <c r="H61" s="25"/>
      <c r="I61" s="25"/>
      <c r="J61" s="26"/>
    </row>
    <row r="62" spans="2:10" hidden="1" x14ac:dyDescent="0.4">
      <c r="B62" s="14"/>
      <c r="C62" s="24"/>
      <c r="D62" s="25"/>
      <c r="E62" s="25"/>
      <c r="F62" s="25"/>
      <c r="G62" s="25"/>
      <c r="H62" s="25"/>
      <c r="I62" s="25"/>
      <c r="J62" s="26"/>
    </row>
    <row r="63" spans="2:10" hidden="1" x14ac:dyDescent="0.4">
      <c r="B63" s="14"/>
      <c r="C63" s="24"/>
      <c r="D63" s="25"/>
      <c r="E63" s="25"/>
      <c r="F63" s="25"/>
      <c r="G63" s="25"/>
      <c r="H63" s="25"/>
      <c r="I63" s="25"/>
      <c r="J63" s="26"/>
    </row>
    <row r="64" spans="2:10" hidden="1" x14ac:dyDescent="0.4">
      <c r="B64" s="14"/>
      <c r="C64" s="24"/>
      <c r="D64" s="25"/>
      <c r="E64" s="25"/>
      <c r="F64" s="25"/>
      <c r="G64" s="25"/>
      <c r="H64" s="25"/>
      <c r="I64" s="25"/>
      <c r="J64" s="26"/>
    </row>
    <row r="65" spans="2:10" hidden="1" x14ac:dyDescent="0.4">
      <c r="B65" s="14"/>
      <c r="C65" s="24"/>
      <c r="D65" s="25"/>
      <c r="E65" s="25"/>
      <c r="F65" s="25"/>
      <c r="G65" s="25"/>
      <c r="H65" s="25"/>
      <c r="I65" s="25"/>
      <c r="J65" s="26"/>
    </row>
    <row r="66" spans="2:10" ht="18" hidden="1" thickBot="1" x14ac:dyDescent="0.45">
      <c r="B66" s="28"/>
      <c r="C66" s="29"/>
      <c r="D66" s="30"/>
      <c r="E66" s="30"/>
      <c r="F66" s="30"/>
      <c r="G66" s="30"/>
      <c r="H66" s="30"/>
      <c r="I66" s="30"/>
      <c r="J66" s="3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B074E64-69CC-4887-AD9F-192B64D78F54}">
          <x14:formula1>
            <xm:f>콤보박스!$B$78:$B$96</xm:f>
          </x14:formula1>
          <xm:sqref>F6 F44</xm:sqref>
        </x14:dataValidation>
        <x14:dataValidation type="list" allowBlank="1" showInputMessage="1" showErrorMessage="1" xr:uid="{B3644627-F4DD-45E2-9B38-EDD024723828}">
          <x14:formula1>
            <xm:f>콤보박스!$B$69:$B$76</xm:f>
          </x14:formula1>
          <xm:sqref>C6 C44</xm:sqref>
        </x14:dataValidation>
        <x14:dataValidation type="list" allowBlank="1" showInputMessage="1" showErrorMessage="1" xr:uid="{CBCDD359-2620-469D-A7CF-D22242AA4116}">
          <x14:formula1>
            <xm:f>콤보박스!$B$23:$B$58</xm:f>
          </x14:formula1>
          <xm:sqref>F5 F43</xm:sqref>
        </x14:dataValidation>
        <x14:dataValidation type="list" allowBlank="1" showInputMessage="1" showErrorMessage="1" xr:uid="{0BEDE04A-50DD-4457-84A6-FCD8CF61C1B8}">
          <x14:formula1>
            <xm:f>콤보박스!$B$11:$B$20</xm:f>
          </x14:formula1>
          <xm:sqref>C5 C43</xm:sqref>
        </x14:dataValidation>
        <x14:dataValidation type="list" allowBlank="1" showInputMessage="1" showErrorMessage="1" xr:uid="{69C616DC-92D5-4FFC-851A-BCE2574225C4}">
          <x14:formula1>
            <xm:f>콤보박스!$D$11:$D$13</xm:f>
          </x14:formula1>
          <xm:sqref>C3</xm:sqref>
        </x14:dataValidation>
        <x14:dataValidation type="list" allowBlank="1" showInputMessage="1" showErrorMessage="1" xr:uid="{775416E1-85F1-40CC-8293-41D2D8EF1488}">
          <x14:formula1>
            <xm:f>콤보박스!$B$3:$B$9</xm:f>
          </x14:formula1>
          <xm:sqref>I3 F18 F10</xm:sqref>
        </x14:dataValidation>
        <x14:dataValidation type="list" allowBlank="1" showInputMessage="1" showErrorMessage="1" xr:uid="{49AF1EB5-D775-4FD5-B531-8ED6425BA0C1}">
          <x14:formula1>
            <xm:f>콤보박스!$D$15:$D$19</xm:f>
          </x14:formula1>
          <xm:sqref>C45:C49</xm:sqref>
        </x14:dataValidation>
        <x14:dataValidation type="list" allowBlank="1" showInputMessage="1" showErrorMessage="1" xr:uid="{9A0E8324-8D90-4A32-A768-D7D8B2A346E7}">
          <x14:formula1>
            <xm:f>콤보박스!$D$2:$D$9</xm:f>
          </x14:formula1>
          <xm:sqref>D34 D25 D52 D58</xm:sqref>
        </x14:dataValidation>
        <x14:dataValidation type="list" allowBlank="1" showInputMessage="1" showErrorMessage="1" xr:uid="{4FD2A507-8EBA-418E-BA7F-253BAD7A1D3B}">
          <x14:formula1>
            <xm:f>콤보박스!$D$23:$D$27</xm:f>
          </x14:formula1>
          <xm:sqref>D45:D48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2025-01-32</vt:lpstr>
      <vt:lpstr>목차</vt:lpstr>
      <vt:lpstr>2024-11-22 (3)</vt:lpstr>
      <vt:lpstr>콤보박스</vt:lpstr>
      <vt:lpstr>SheetName</vt:lpstr>
      <vt:lpstr>2025-01-32 (3)</vt:lpstr>
      <vt:lpstr>2025-01-32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홍성근[Sungguen Hong]</dc:creator>
  <cp:lastModifiedBy>홍성근[Sungguen Hong]</cp:lastModifiedBy>
  <dcterms:created xsi:type="dcterms:W3CDTF">2024-10-17T02:56:24Z</dcterms:created>
  <dcterms:modified xsi:type="dcterms:W3CDTF">2025-01-03T04:37:05Z</dcterms:modified>
</cp:coreProperties>
</file>